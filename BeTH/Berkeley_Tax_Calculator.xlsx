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Full Parcel Burd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<sst xmlns="http://schemas.openxmlformats.org/spreadsheetml/2006/main" count="179" uniqueCount="129">
  <si>
    <t xml:space="preserve">Berkeley 2026 Household Tax-Increase Estimator</t>
  </si>
  <si>
    <t xml:space="preserve">Estimates the annual increase from proposed/2026-cycle measures. Blue cells = your inputs.</t>
  </si>
  <si>
    <t xml:space="preserve">  YOUR INPUTS</t>
  </si>
  <si>
    <t xml:space="preserve">Square footage (taxable)</t>
  </si>
  <si>
    <t xml:space="preserve">Berkeley taxable sq ft: data.cityofberkeley.info  (9a47-nj4i)</t>
  </si>
  <si>
    <t xml:space="preserve">Current assessed value (AV)</t>
  </si>
  <si>
    <t xml:space="preserve">propinfo.acgov.org</t>
  </si>
  <si>
    <t xml:space="preserve">Last year's assessed value (AV)</t>
  </si>
  <si>
    <t xml:space="preserve">Current tax rate (%)</t>
  </si>
  <si>
    <t xml:space="preserve">auditor.alamedacountyca.gov/tax-rate-search</t>
  </si>
  <si>
    <t xml:space="preserve">Last year's tax rate (%)</t>
  </si>
  <si>
    <t xml:space="preserve">Last year's total tax bill</t>
  </si>
  <si>
    <t xml:space="preserve">propertytax.alamedacountyca.gov</t>
  </si>
  <si>
    <t xml:space="preserve">Est. Berkeley sales-tax increase ($/yr)</t>
  </si>
  <si>
    <t xml:space="preserve">0.05 increase; $100-300 typical</t>
  </si>
  <si>
    <t xml:space="preserve">Est. Alameda County sales-tax increase ($/yr)</t>
  </si>
  <si>
    <t xml:space="preserve">Current parcel-tax total ($, for 6.44% hike)</t>
  </si>
  <si>
    <t xml:space="preserve">Optional; drives row 21</t>
  </si>
  <si>
    <t xml:space="preserve">  ESTIMATED ANNUAL INCREASES</t>
  </si>
  <si>
    <t xml:space="preserve">Public bank tax (@ $0.06/sq ft)</t>
  </si>
  <si>
    <t xml:space="preserve">sq ft x $0.06</t>
  </si>
  <si>
    <t xml:space="preserve">Arts tax (@ $0.07/sq ft)</t>
  </si>
  <si>
    <t xml:space="preserve">sq ft x $0.07</t>
  </si>
  <si>
    <t xml:space="preserve">Infrastructure bond (@ $44 per $100k AV)</t>
  </si>
  <si>
    <t xml:space="preserve">AV x 44 / 100,000</t>
  </si>
  <si>
    <t xml:space="preserve">AV growth (reassessment + rate change)</t>
  </si>
  <si>
    <t xml:space="preserve">curr AV x rate  -  prior AV x rate</t>
  </si>
  <si>
    <t xml:space="preserve">Parcel taxes (+6.44%)</t>
  </si>
  <si>
    <t xml:space="preserve">current parcel total x 6.44%</t>
  </si>
  <si>
    <t xml:space="preserve">Berkeley sales-tax increase</t>
  </si>
  <si>
    <t xml:space="preserve">Alameda County sales-tax increase</t>
  </si>
  <si>
    <t xml:space="preserve">TOTAL ANNUAL $ INCREASE</t>
  </si>
  <si>
    <t xml:space="preserve">% INCREASE vs last bill</t>
  </si>
  <si>
    <t xml:space="preserve">Tax-INCREASE estimator (new 2026-cycle measures only). For the full annual burden incl. BUSD school taxes and county/regional levies, see the 'Full Parcel Burden' tab. Excludes garbage/refuse and metered utility fees. Adjust any rate cell to re-run a scenario.</t>
  </si>
  <si>
    <t xml:space="preserve">Berkeley Parcel — Total Property-Tax Burden (All Jurisdictions)</t>
  </si>
  <si>
    <t xml:space="preserve">Model parcel: 1,800 sq ft dwelling, assessed value $1,250,000. City of Berkeley = FY2027 ADOPTED rates (Ord. 6/30/26). BUSD &amp; county/regional = 2025-26 (latest billed) — those bodies set FY2027 rates later in summer. Prepared 2026-06-22 by BeTH.</t>
  </si>
  <si>
    <t xml:space="preserve">Combines THREE separate taxing entities (City, school district, county/regional). Shown with subtotals so jurisdictions are not conflated. Ad valorem lines scale with assessed value; per-sq-ft lines scale with building size; fixed charges do not scale.</t>
  </si>
  <si>
    <t xml:space="preserve">Assumptions</t>
  </si>
  <si>
    <t xml:space="preserve">Dwelling size (sq ft)</t>
  </si>
  <si>
    <t xml:space="preserve">Assessed value ($)</t>
  </si>
  <si>
    <t xml:space="preserve">Measure / Levy</t>
  </si>
  <si>
    <t xml:space="preserve">Basis</t>
  </si>
  <si>
    <t xml:space="preserve">Rate</t>
  </si>
  <si>
    <t xml:space="preserve">Rate (num)</t>
  </si>
  <si>
    <t xml:space="preserve">Annual $</t>
  </si>
  <si>
    <t xml:space="preserve">Confidence</t>
  </si>
  <si>
    <t xml:space="preserve">Source / Notes</t>
  </si>
  <si>
    <t xml:space="preserve">CITY OF BERKELEY</t>
  </si>
  <si>
    <t xml:space="preserve">Library Relief Act 2024 (Measure X)</t>
  </si>
  <si>
    <t xml:space="preserve">sqft</t>
  </si>
  <si>
    <t xml:space="preserve">6.297¢/sf</t>
  </si>
  <si>
    <t xml:space="preserve">High</t>
  </si>
  <si>
    <t xml:space="preserve">Ord 8,013 (adopted 6/30/26)</t>
  </si>
  <si>
    <t xml:space="preserve">Library Services Tax (1980 Act)</t>
  </si>
  <si>
    <t xml:space="preserve">31.28¢/sf</t>
  </si>
  <si>
    <t xml:space="preserve">Ord 8,014</t>
  </si>
  <si>
    <t xml:space="preserve">Emergency Svcs Disabled (Measure E)</t>
  </si>
  <si>
    <t xml:space="preserve">2.339¢/sf</t>
  </si>
  <si>
    <t xml:space="preserve">Ord 8,018</t>
  </si>
  <si>
    <t xml:space="preserve">Fire Protection &amp; Emerg Prep (Measure GG)</t>
  </si>
  <si>
    <t xml:space="preserve">7.026¢/sf</t>
  </si>
  <si>
    <t xml:space="preserve">Ord 8,019 (dwelling rate)</t>
  </si>
  <si>
    <t xml:space="preserve">Firefighting/EMS/Wildfire (Measure FF 2020)</t>
  </si>
  <si>
    <t xml:space="preserve">13.633¢/sf</t>
  </si>
  <si>
    <t xml:space="preserve">Ord 8,020</t>
  </si>
  <si>
    <t xml:space="preserve">Emergency Medical Svcs (Paramedic Tax)</t>
  </si>
  <si>
    <t xml:space="preserve">4.92¢/sf</t>
  </si>
  <si>
    <t xml:space="preserve">Ord 8,021</t>
  </si>
  <si>
    <t xml:space="preserve">Parks, Trees &amp; Landscaping (Measures F &amp; Y)</t>
  </si>
  <si>
    <t xml:space="preserve">27.83¢/sf</t>
  </si>
  <si>
    <t xml:space="preserve">Ord 8,023</t>
  </si>
  <si>
    <t xml:space="preserve">Safe Streets Tax (Measure FF 2024)</t>
  </si>
  <si>
    <t xml:space="preserve">17.842¢/sf</t>
  </si>
  <si>
    <t xml:space="preserve">Ord 8,025 (dwelling rate)</t>
  </si>
  <si>
    <t xml:space="preserve">2015 Refunding GO Bonds (Measures G/S/I)</t>
  </si>
  <si>
    <t xml:space="preserve">av</t>
  </si>
  <si>
    <t xml:space="preserve">0.0075%</t>
  </si>
  <si>
    <t xml:space="preserve">Ord 8,016</t>
  </si>
  <si>
    <t xml:space="preserve">Affordable Housing Bonds (Measure O)</t>
  </si>
  <si>
    <t xml:space="preserve">0.0200%</t>
  </si>
  <si>
    <t xml:space="preserve">Ord 8,017</t>
  </si>
  <si>
    <t xml:space="preserve">Infrastructure &amp; Facilities Bonds (Measure T1)</t>
  </si>
  <si>
    <t xml:space="preserve">0.0140%</t>
  </si>
  <si>
    <t xml:space="preserve">Ord 8,022</t>
  </si>
  <si>
    <t xml:space="preserve">Branch Library Bonds (2008 Measure FF)</t>
  </si>
  <si>
    <t xml:space="preserve">0.0035%</t>
  </si>
  <si>
    <t xml:space="preserve">Ord 8,024</t>
  </si>
  <si>
    <t xml:space="preserve">Street &amp; Watershed Bonds (Measure M)</t>
  </si>
  <si>
    <t xml:space="preserve">0.0040%</t>
  </si>
  <si>
    <t xml:space="preserve">Ord 8,026</t>
  </si>
  <si>
    <t xml:space="preserve">City fixed direct charges (storm water, street lighting, paramedic CSA, etc.)</t>
  </si>
  <si>
    <t xml:space="preserve">flat</t>
  </si>
  <si>
    <t xml:space="preserve">—</t>
  </si>
  <si>
    <t xml:space="preserve">2025-26 secured bill (flat, non-scaling)</t>
  </si>
  <si>
    <t xml:space="preserve">City of Berkeley — subtotal</t>
  </si>
  <si>
    <t xml:space="preserve">BERKELEY UNIFIED SCHOOL DISTRICT (BUSD)</t>
  </si>
  <si>
    <t xml:space="preserve">BSEP / School Ed Programs (Measure H 2024)</t>
  </si>
  <si>
    <t xml:space="preserve">$0.54/sf</t>
  </si>
  <si>
    <t xml:space="preserve">Alameda Co. Treasurer 2025-26; per-sf confirmed</t>
  </si>
  <si>
    <t xml:space="preserve">Educator Recruit/Retain – BERRA (Measure E 2020)</t>
  </si>
  <si>
    <t xml:space="preserve">14.51¢/sf</t>
  </si>
  <si>
    <t xml:space="preserve">Moderate</t>
  </si>
  <si>
    <t xml:space="preserve">Derived from 2025-26 bill; confirm vs district resolution</t>
  </si>
  <si>
    <t xml:space="preserve">School Safety &amp; Maintenance (Measure H 2020)</t>
  </si>
  <si>
    <t xml:space="preserve">10.65¢/sf</t>
  </si>
  <si>
    <t xml:space="preserve">BUSD GO Bonds (Measures I 2010 + G 2020)</t>
  </si>
  <si>
    <t xml:space="preserve">0.1154%</t>
  </si>
  <si>
    <t xml:space="preserve">Alameda Co. Auditor Tax Rate Book, TRA 13-000, 2025-26</t>
  </si>
  <si>
    <t xml:space="preserve">BUSD — subtotal</t>
  </si>
  <si>
    <t xml:space="preserve">ALAMEDA COUNTY &amp; REGIONAL DISTRICTS</t>
  </si>
  <si>
    <t xml:space="preserve">Base 1% General Levy (Prop 13)</t>
  </si>
  <si>
    <t xml:space="preserve">1.0000%</t>
  </si>
  <si>
    <t xml:space="preserve">Alameda Co. Auditor, TRA 13-000</t>
  </si>
  <si>
    <t xml:space="preserve">Alameda County GO Bond</t>
  </si>
  <si>
    <t xml:space="preserve">0.0084%</t>
  </si>
  <si>
    <t xml:space="preserve">Auditor Tax Rate Book 2025-26</t>
  </si>
  <si>
    <t xml:space="preserve">Peralta Community College Bonds</t>
  </si>
  <si>
    <t xml:space="preserve">0.0432%</t>
  </si>
  <si>
    <t xml:space="preserve">BART GO Bonds</t>
  </si>
  <si>
    <t xml:space="preserve">0.0152%</t>
  </si>
  <si>
    <t xml:space="preserve">East Bay Regional Park District (EBRPD)</t>
  </si>
  <si>
    <t xml:space="preserve">0.0011%</t>
  </si>
  <si>
    <t xml:space="preserve">Regional fixed charges (EBMUD, AC Transit VV, Peralta parcel, mosquito/vector, EBRPD CFD, etc.)</t>
  </si>
  <si>
    <t xml:space="preserve">County &amp; regional — subtotal</t>
  </si>
  <si>
    <t xml:space="preserve">TOTAL ANNUAL PROPERTY-TAX BURDEN (this parcel)</t>
  </si>
  <si>
    <t xml:space="preserve">RECONCILIATION: The ad valorem lines (City bonds 0.0490% + BUSD bonds 0.1154% + base 1% + county 0.0084% + Peralta 0.0432% + BART 0.0152% + EBRPD 0.0011%) sum to exactly 1.2323% — the Alameda County Auditor composite rate for Berkeley TRA 13-000. Total burden cross-checks against a real 2025-26 Berkeley bill (~$19.4k at similar AV).</t>
  </si>
  <si>
    <t xml:space="preserve">NOT THE CITY BUDGET. This is the tax bill on ONE parcel across all overlapping jurisdictions — not the City of Berkeley's spending. Only the City subtotal is money the City government levies.</t>
  </si>
  <si>
    <t xml:space="preserve">CONFIDENCE: City lines High (adopted ordinances). BUSD BSEP &amp; all ad valorem bond rates High (Treasurer/Auditor). BERRA &amp; School Maintenance per-sf rates Moderate — derived from a 2025-26 bill; confirm against the district's rate resolution before publishing.</t>
  </si>
  <si>
    <t xml:space="preserve">EXCLUDES: the ~$86 homeowners' exemption (gross figures shown), any direct utility/refuse fees not on the secured roll, and the 2026-cycle proposed sales tax / $300M bond (see the Tax-Increase Estimator).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</si>
</sst>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$#,##0;&quot;($&quot;#,##0\);\-"/>
    <numFmt numFmtId="167" formatCode="0.0000\%"/>
    <numFmt numFmtId="168" formatCode="0.0%"/>
    <numFmt numFmtId="169" formatCode="#,##0"/>
    <numFmt numFmtId="170" formatCode="\$#,##0"/>
    <numFmt numFmtId="171" formatCode="0.000000"/>
    <numFmt numFmtId="172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2F2F2"/>
      </patternFill>
    </fill>
    <fill>
      <patternFill patternType="solid">
        <fgColor rgb="FF1F3864"/>
        <bgColor rgb="FF1F4E78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4"/>
  </cols>
  <sheetData>
    <row r="2" customFormat="false" ht="17.25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5" customFormat="false" ht="15" hidden="false" customHeight="true" outlineLevel="0" collapsed="false">
      <c r="B5" s="4" t="s">
        <v>2</v>
      </c>
      <c r="C5" s="4"/>
      <c r="D5" s="4"/>
    </row>
    <row r="6" customFormat="false" ht="15" hidden="false" customHeight="true" outlineLevel="0" collapsed="false">
      <c r="B6" s="5" t="s">
        <v>3</v>
      </c>
      <c r="C6" s="6" t="n">
        <v>1600</v>
      </c>
      <c r="D6" s="7" t="s">
        <v>4</v>
      </c>
    </row>
    <row r="7" customFormat="false" ht="15" hidden="false" customHeight="true" outlineLevel="0" collapsed="false">
      <c r="B7" s="5" t="s">
        <v>5</v>
      </c>
      <c r="C7" s="8" t="n">
        <v>1268211</v>
      </c>
      <c r="D7" s="7" t="s">
        <v>6</v>
      </c>
    </row>
    <row r="8" customFormat="false" ht="15" hidden="false" customHeight="true" outlineLevel="0" collapsed="false">
      <c r="B8" s="5" t="s">
        <v>7</v>
      </c>
      <c r="C8" s="8" t="n">
        <v>1243347</v>
      </c>
    </row>
    <row r="9" customFormat="false" ht="15" hidden="false" customHeight="true" outlineLevel="0" collapsed="false">
      <c r="B9" s="5" t="s">
        <v>8</v>
      </c>
      <c r="C9" s="9" t="n">
        <v>1.2323</v>
      </c>
      <c r="D9" s="7" t="s">
        <v>9</v>
      </c>
    </row>
    <row r="10" customFormat="false" ht="15" hidden="false" customHeight="true" outlineLevel="0" collapsed="false">
      <c r="B10" s="5" t="s">
        <v>10</v>
      </c>
      <c r="C10" s="9" t="n">
        <v>1.2033</v>
      </c>
    </row>
    <row r="11" customFormat="false" ht="15" hidden="false" customHeight="true" outlineLevel="0" collapsed="false">
      <c r="B11" s="5" t="s">
        <v>11</v>
      </c>
      <c r="C11" s="8" t="n">
        <v>19082</v>
      </c>
      <c r="D11" s="7" t="s">
        <v>12</v>
      </c>
    </row>
    <row r="12" customFormat="false" ht="15" hidden="false" customHeight="true" outlineLevel="0" collapsed="false">
      <c r="B12" s="5" t="s">
        <v>13</v>
      </c>
      <c r="C12" s="8" t="n">
        <v>300</v>
      </c>
      <c r="D12" s="7" t="s">
        <v>14</v>
      </c>
    </row>
    <row r="13" customFormat="false" ht="15" hidden="false" customHeight="true" outlineLevel="0" collapsed="false">
      <c r="B13" s="5" t="s">
        <v>15</v>
      </c>
      <c r="C13" s="8" t="n">
        <v>300</v>
      </c>
      <c r="D13" s="7" t="s">
        <v>14</v>
      </c>
    </row>
    <row r="14" customFormat="false" ht="15" hidden="false" customHeight="true" outlineLevel="0" collapsed="false">
      <c r="B14" s="5" t="s">
        <v>16</v>
      </c>
      <c r="C14" s="8" t="n">
        <v>1724</v>
      </c>
      <c r="D14" s="7" t="s">
        <v>17</v>
      </c>
    </row>
    <row r="16" customFormat="false" ht="15" hidden="false" customHeight="true" outlineLevel="0" collapsed="false">
      <c r="B16" s="4" t="s">
        <v>18</v>
      </c>
      <c r="C16" s="4"/>
      <c r="D16" s="4"/>
    </row>
    <row r="17" customFormat="false" ht="15" hidden="false" customHeight="true" outlineLevel="0" collapsed="false">
      <c r="B17" s="5" t="s">
        <v>19</v>
      </c>
      <c r="C17" s="10" t="n">
        <f aca="false">C6*0.06</f>
        <v>96</v>
      </c>
      <c r="D17" s="7" t="s">
        <v>20</v>
      </c>
    </row>
    <row r="18" customFormat="false" ht="15" hidden="false" customHeight="true" outlineLevel="0" collapsed="false">
      <c r="B18" s="5" t="s">
        <v>21</v>
      </c>
      <c r="C18" s="10" t="n">
        <f aca="false">C6*0.07</f>
        <v>112</v>
      </c>
      <c r="D18" s="7" t="s">
        <v>22</v>
      </c>
    </row>
    <row r="19" customFormat="false" ht="15" hidden="false" customHeight="true" outlineLevel="0" collapsed="false">
      <c r="B19" s="5" t="s">
        <v>23</v>
      </c>
      <c r="C19" s="10" t="n">
        <f aca="false">C7*44/100000</f>
        <v>558.01284</v>
      </c>
      <c r="D19" s="7" t="s">
        <v>24</v>
      </c>
    </row>
    <row r="20" customFormat="false" ht="15" hidden="false" customHeight="true" outlineLevel="0" collapsed="false">
      <c r="B20" s="5" t="s">
        <v>25</v>
      </c>
      <c r="C20" s="10" t="n">
        <f aca="false">(C7*(C9/100))-(C8*(C10/100))</f>
        <v>666.969701999997</v>
      </c>
      <c r="D20" s="7" t="s">
        <v>26</v>
      </c>
    </row>
    <row r="21" customFormat="false" ht="15" hidden="false" customHeight="true" outlineLevel="0" collapsed="false">
      <c r="B21" s="5" t="s">
        <v>27</v>
      </c>
      <c r="C21" s="10" t="n">
        <f aca="false">C14*0.0644</f>
        <v>111.0256</v>
      </c>
      <c r="D21" s="7" t="s">
        <v>28</v>
      </c>
    </row>
    <row r="22" customFormat="false" ht="15" hidden="false" customHeight="true" outlineLevel="0" collapsed="false">
      <c r="B22" s="5" t="s">
        <v>29</v>
      </c>
      <c r="C22" s="10" t="n">
        <f aca="false">C12</f>
        <v>300</v>
      </c>
    </row>
    <row r="23" customFormat="false" ht="15" hidden="false" customHeight="true" outlineLevel="0" collapsed="false">
      <c r="B23" s="5" t="s">
        <v>30</v>
      </c>
      <c r="C23" s="10" t="n">
        <f aca="false">C13</f>
        <v>300</v>
      </c>
    </row>
    <row r="25" customFormat="false" ht="15" hidden="false" customHeight="true" outlineLevel="0" collapsed="false">
      <c r="B25" s="11" t="s">
        <v>31</v>
      </c>
      <c r="C25" s="12" t="n">
        <f aca="false">SUM(C17:C23)</f>
        <v>2144.008142</v>
      </c>
    </row>
    <row r="26" customFormat="false" ht="15" hidden="false" customHeight="true" outlineLevel="0" collapsed="false">
      <c r="B26" s="11" t="s">
        <v>32</v>
      </c>
      <c r="C26" s="13" t="n">
        <f aca="false">C25/C11</f>
        <v>0.112357621947385</v>
      </c>
    </row>
    <row r="28" customFormat="false" ht="15" hidden="false" customHeight="true" outlineLevel="0" collapsed="false">
      <c r="B28" s="14" t="s">
        <v>33</v>
      </c>
      <c r="C28" s="14"/>
      <c r="D28" s="14"/>
    </row>
    <row r="29" customFormat="false" ht="15" hidden="false" customHeight="true" outlineLevel="0" collapsed="false">
      <c r="B29" s="14"/>
      <c r="C29" s="14"/>
      <c r="D29" s="14"/>
    </row>
    <row r="30" customFormat="false" ht="15" hidden="false" customHeight="true" outlineLevel="0" collapsed="false">
      <c r="B30" s="14"/>
      <c r="C30" s="14"/>
      <c r="D30" s="14"/>
    </row>
  </sheetData>
  <mergeCells count="5">
    <mergeCell ref="B2:D2"/>
    <mergeCell ref="B3:D3"/>
    <mergeCell ref="B5:D5"/>
    <mergeCell ref="B16:D16"/>
    <mergeCell ref="B28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5" t="s">
        <v>34</v>
      </c>
    </row>
    <row r="2" customFormat="false" ht="42" hidden="false" customHeight="true" outlineLevel="0" collapsed="false">
      <c r="A2" s="16" t="s">
        <v>35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36</v>
      </c>
      <c r="B3" s="17"/>
      <c r="C3" s="17"/>
      <c r="D3" s="17"/>
      <c r="E3" s="17"/>
      <c r="F3" s="17"/>
      <c r="G3" s="17"/>
    </row>
    <row r="5" customFormat="false" ht="15" hidden="false" customHeight="false" outlineLevel="0" collapsed="false">
      <c r="A5" s="18" t="s">
        <v>37</v>
      </c>
    </row>
    <row r="6" customFormat="false" ht="15" hidden="false" customHeight="false" outlineLevel="0" collapsed="false">
      <c r="A6" s="19" t="s">
        <v>38</v>
      </c>
      <c r="C6" s="20" t="n">
        <v>1800</v>
      </c>
    </row>
    <row r="7" customFormat="false" ht="15" hidden="false" customHeight="false" outlineLevel="0" collapsed="false">
      <c r="A7" s="19" t="s">
        <v>39</v>
      </c>
      <c r="C7" s="21" t="n">
        <v>1250000</v>
      </c>
    </row>
    <row r="9" customFormat="false" ht="15" hidden="false" customHeight="false" outlineLevel="0" collapsed="false">
      <c r="A9" s="22" t="s">
        <v>40</v>
      </c>
      <c r="B9" s="22" t="s">
        <v>41</v>
      </c>
      <c r="C9" s="22" t="s">
        <v>42</v>
      </c>
      <c r="D9" s="22" t="s">
        <v>43</v>
      </c>
      <c r="E9" s="22" t="s">
        <v>44</v>
      </c>
      <c r="F9" s="22" t="s">
        <v>45</v>
      </c>
      <c r="G9" s="22" t="s">
        <v>46</v>
      </c>
    </row>
    <row r="10" customFormat="false" ht="15" hidden="false" customHeight="false" outlineLevel="0" collapsed="false">
      <c r="A10" s="23" t="s">
        <v>47</v>
      </c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A11" s="19" t="s">
        <v>48</v>
      </c>
      <c r="B11" s="25" t="s">
        <v>49</v>
      </c>
      <c r="C11" s="19" t="s">
        <v>50</v>
      </c>
      <c r="D11" s="26" t="n">
        <v>0.06297</v>
      </c>
      <c r="E11" s="27" t="n">
        <f aca="false">D11*$C$6</f>
        <v>113.346</v>
      </c>
      <c r="F11" s="28" t="s">
        <v>51</v>
      </c>
      <c r="G11" s="29" t="s">
        <v>52</v>
      </c>
    </row>
    <row r="12" customFormat="false" ht="15" hidden="false" customHeight="false" outlineLevel="0" collapsed="false">
      <c r="A12" s="19" t="s">
        <v>53</v>
      </c>
      <c r="B12" s="25" t="s">
        <v>49</v>
      </c>
      <c r="C12" s="19" t="s">
        <v>54</v>
      </c>
      <c r="D12" s="26" t="n">
        <v>0.3128</v>
      </c>
      <c r="E12" s="27" t="n">
        <f aca="false">D12*$C$6</f>
        <v>563.04</v>
      </c>
      <c r="F12" s="28" t="s">
        <v>51</v>
      </c>
      <c r="G12" s="29" t="s">
        <v>55</v>
      </c>
    </row>
    <row r="13" customFormat="false" ht="15" hidden="false" customHeight="false" outlineLevel="0" collapsed="false">
      <c r="A13" s="19" t="s">
        <v>56</v>
      </c>
      <c r="B13" s="25" t="s">
        <v>49</v>
      </c>
      <c r="C13" s="19" t="s">
        <v>57</v>
      </c>
      <c r="D13" s="26" t="n">
        <v>0.02339</v>
      </c>
      <c r="E13" s="27" t="n">
        <f aca="false">D13*$C$6</f>
        <v>42.102</v>
      </c>
      <c r="F13" s="28" t="s">
        <v>51</v>
      </c>
      <c r="G13" s="29" t="s">
        <v>58</v>
      </c>
    </row>
    <row r="14" customFormat="false" ht="15" hidden="false" customHeight="false" outlineLevel="0" collapsed="false">
      <c r="A14" s="19" t="s">
        <v>59</v>
      </c>
      <c r="B14" s="25" t="s">
        <v>49</v>
      </c>
      <c r="C14" s="19" t="s">
        <v>60</v>
      </c>
      <c r="D14" s="26" t="n">
        <v>0.07026</v>
      </c>
      <c r="E14" s="27" t="n">
        <f aca="false">D14*$C$6</f>
        <v>126.468</v>
      </c>
      <c r="F14" s="28" t="s">
        <v>51</v>
      </c>
      <c r="G14" s="29" t="s">
        <v>61</v>
      </c>
    </row>
    <row r="15" customFormat="false" ht="15" hidden="false" customHeight="false" outlineLevel="0" collapsed="false">
      <c r="A15" s="19" t="s">
        <v>62</v>
      </c>
      <c r="B15" s="25" t="s">
        <v>49</v>
      </c>
      <c r="C15" s="19" t="s">
        <v>63</v>
      </c>
      <c r="D15" s="26" t="n">
        <v>0.13633</v>
      </c>
      <c r="E15" s="27" t="n">
        <f aca="false">D15*$C$6</f>
        <v>245.394</v>
      </c>
      <c r="F15" s="28" t="s">
        <v>51</v>
      </c>
      <c r="G15" s="29" t="s">
        <v>64</v>
      </c>
    </row>
    <row r="16" customFormat="false" ht="15" hidden="false" customHeight="false" outlineLevel="0" collapsed="false">
      <c r="A16" s="19" t="s">
        <v>65</v>
      </c>
      <c r="B16" s="25" t="s">
        <v>49</v>
      </c>
      <c r="C16" s="19" t="s">
        <v>66</v>
      </c>
      <c r="D16" s="26" t="n">
        <v>0.0492</v>
      </c>
      <c r="E16" s="27" t="n">
        <f aca="false">D16*$C$6</f>
        <v>88.56</v>
      </c>
      <c r="F16" s="28" t="s">
        <v>51</v>
      </c>
      <c r="G16" s="29" t="s">
        <v>67</v>
      </c>
    </row>
    <row r="17" customFormat="false" ht="15" hidden="false" customHeight="false" outlineLevel="0" collapsed="false">
      <c r="A17" s="19" t="s">
        <v>68</v>
      </c>
      <c r="B17" s="25" t="s">
        <v>49</v>
      </c>
      <c r="C17" s="19" t="s">
        <v>69</v>
      </c>
      <c r="D17" s="26" t="n">
        <v>0.2783</v>
      </c>
      <c r="E17" s="27" t="n">
        <f aca="false">D17*$C$6</f>
        <v>500.94</v>
      </c>
      <c r="F17" s="28" t="s">
        <v>51</v>
      </c>
      <c r="G17" s="29" t="s">
        <v>70</v>
      </c>
    </row>
    <row r="18" customFormat="false" ht="15" hidden="false" customHeight="false" outlineLevel="0" collapsed="false">
      <c r="A18" s="19" t="s">
        <v>71</v>
      </c>
      <c r="B18" s="25" t="s">
        <v>49</v>
      </c>
      <c r="C18" s="19" t="s">
        <v>72</v>
      </c>
      <c r="D18" s="26" t="n">
        <v>0.17842</v>
      </c>
      <c r="E18" s="27" t="n">
        <f aca="false">D18*$C$6</f>
        <v>321.156</v>
      </c>
      <c r="F18" s="28" t="s">
        <v>51</v>
      </c>
      <c r="G18" s="29" t="s">
        <v>73</v>
      </c>
    </row>
    <row r="19" customFormat="false" ht="15" hidden="false" customHeight="false" outlineLevel="0" collapsed="false">
      <c r="A19" s="19" t="s">
        <v>74</v>
      </c>
      <c r="B19" s="25" t="s">
        <v>75</v>
      </c>
      <c r="C19" s="19" t="s">
        <v>76</v>
      </c>
      <c r="D19" s="26" t="n">
        <v>7.5E-005</v>
      </c>
      <c r="E19" s="27" t="n">
        <f aca="false">D19*$C$7</f>
        <v>93.75</v>
      </c>
      <c r="F19" s="28" t="s">
        <v>51</v>
      </c>
      <c r="G19" s="29" t="s">
        <v>77</v>
      </c>
    </row>
    <row r="20" customFormat="false" ht="15" hidden="false" customHeight="false" outlineLevel="0" collapsed="false">
      <c r="A20" s="19" t="s">
        <v>78</v>
      </c>
      <c r="B20" s="25" t="s">
        <v>75</v>
      </c>
      <c r="C20" s="19" t="s">
        <v>79</v>
      </c>
      <c r="D20" s="26" t="n">
        <v>0.0002</v>
      </c>
      <c r="E20" s="27" t="n">
        <f aca="false">D20*$C$7</f>
        <v>250</v>
      </c>
      <c r="F20" s="28" t="s">
        <v>51</v>
      </c>
      <c r="G20" s="29" t="s">
        <v>80</v>
      </c>
    </row>
    <row r="21" customFormat="false" ht="15" hidden="false" customHeight="false" outlineLevel="0" collapsed="false">
      <c r="A21" s="19" t="s">
        <v>81</v>
      </c>
      <c r="B21" s="25" t="s">
        <v>75</v>
      </c>
      <c r="C21" s="19" t="s">
        <v>82</v>
      </c>
      <c r="D21" s="26" t="n">
        <v>0.00014</v>
      </c>
      <c r="E21" s="27" t="n">
        <f aca="false">D21*$C$7</f>
        <v>175</v>
      </c>
      <c r="F21" s="28" t="s">
        <v>51</v>
      </c>
      <c r="G21" s="29" t="s">
        <v>83</v>
      </c>
    </row>
    <row r="22" customFormat="false" ht="15" hidden="false" customHeight="false" outlineLevel="0" collapsed="false">
      <c r="A22" s="19" t="s">
        <v>84</v>
      </c>
      <c r="B22" s="25" t="s">
        <v>75</v>
      </c>
      <c r="C22" s="19" t="s">
        <v>85</v>
      </c>
      <c r="D22" s="26" t="n">
        <v>3.5E-005</v>
      </c>
      <c r="E22" s="27" t="n">
        <f aca="false">D22*$C$7</f>
        <v>43.75</v>
      </c>
      <c r="F22" s="28" t="s">
        <v>51</v>
      </c>
      <c r="G22" s="29" t="s">
        <v>86</v>
      </c>
    </row>
    <row r="23" customFormat="false" ht="15" hidden="false" customHeight="false" outlineLevel="0" collapsed="false">
      <c r="A23" s="19" t="s">
        <v>87</v>
      </c>
      <c r="B23" s="25" t="s">
        <v>75</v>
      </c>
      <c r="C23" s="19" t="s">
        <v>88</v>
      </c>
      <c r="D23" s="26" t="n">
        <v>4E-005</v>
      </c>
      <c r="E23" s="27" t="n">
        <f aca="false">D23*$C$7</f>
        <v>50</v>
      </c>
      <c r="F23" s="28" t="s">
        <v>51</v>
      </c>
      <c r="G23" s="29" t="s">
        <v>89</v>
      </c>
    </row>
    <row r="24" customFormat="false" ht="15" hidden="false" customHeight="false" outlineLevel="0" collapsed="false">
      <c r="A24" s="19" t="s">
        <v>90</v>
      </c>
      <c r="B24" s="25" t="s">
        <v>91</v>
      </c>
      <c r="C24" s="19" t="s">
        <v>92</v>
      </c>
      <c r="D24" s="27" t="n">
        <v>161.32</v>
      </c>
      <c r="E24" s="27" t="n">
        <f aca="false">D24</f>
        <v>161.32</v>
      </c>
      <c r="F24" s="28" t="s">
        <v>51</v>
      </c>
      <c r="G24" s="29" t="s">
        <v>93</v>
      </c>
    </row>
    <row r="25" customFormat="false" ht="15" hidden="false" customHeight="false" outlineLevel="0" collapsed="false">
      <c r="A25" s="30" t="s">
        <v>94</v>
      </c>
      <c r="B25" s="31"/>
      <c r="C25" s="31"/>
      <c r="D25" s="31"/>
      <c r="E25" s="32" t="n">
        <f aca="false">SUM(E11:E24)</f>
        <v>2774.826</v>
      </c>
      <c r="F25" s="31"/>
      <c r="G25" s="31"/>
    </row>
    <row r="26" customFormat="false" ht="15" hidden="false" customHeight="false" outlineLevel="0" collapsed="false">
      <c r="A26" s="23" t="s">
        <v>95</v>
      </c>
      <c r="B26" s="24"/>
      <c r="C26" s="24"/>
      <c r="D26" s="24"/>
      <c r="E26" s="24"/>
      <c r="F26" s="24"/>
      <c r="G26" s="24"/>
    </row>
    <row r="27" customFormat="false" ht="15" hidden="false" customHeight="false" outlineLevel="0" collapsed="false">
      <c r="A27" s="19" t="s">
        <v>96</v>
      </c>
      <c r="B27" s="25" t="s">
        <v>49</v>
      </c>
      <c r="C27" s="19" t="s">
        <v>97</v>
      </c>
      <c r="D27" s="26" t="n">
        <v>0.54</v>
      </c>
      <c r="E27" s="27" t="n">
        <f aca="false">D27*$C$6</f>
        <v>972</v>
      </c>
      <c r="F27" s="28" t="s">
        <v>51</v>
      </c>
      <c r="G27" s="29" t="s">
        <v>98</v>
      </c>
    </row>
    <row r="28" customFormat="false" ht="15" hidden="false" customHeight="false" outlineLevel="0" collapsed="false">
      <c r="A28" s="19" t="s">
        <v>99</v>
      </c>
      <c r="B28" s="25" t="s">
        <v>49</v>
      </c>
      <c r="C28" s="19" t="s">
        <v>100</v>
      </c>
      <c r="D28" s="26" t="n">
        <v>0.1451</v>
      </c>
      <c r="E28" s="27" t="n">
        <f aca="false">D28*$C$6</f>
        <v>261.18</v>
      </c>
      <c r="F28" s="33" t="s">
        <v>101</v>
      </c>
      <c r="G28" s="29" t="s">
        <v>102</v>
      </c>
    </row>
    <row r="29" customFormat="false" ht="15" hidden="false" customHeight="false" outlineLevel="0" collapsed="false">
      <c r="A29" s="19" t="s">
        <v>103</v>
      </c>
      <c r="B29" s="25" t="s">
        <v>49</v>
      </c>
      <c r="C29" s="19" t="s">
        <v>104</v>
      </c>
      <c r="D29" s="26" t="n">
        <v>0.1065</v>
      </c>
      <c r="E29" s="27" t="n">
        <f aca="false">D29*$C$6</f>
        <v>191.7</v>
      </c>
      <c r="F29" s="33" t="s">
        <v>101</v>
      </c>
      <c r="G29" s="29" t="s">
        <v>102</v>
      </c>
    </row>
    <row r="30" customFormat="false" ht="15" hidden="false" customHeight="false" outlineLevel="0" collapsed="false">
      <c r="A30" s="19" t="s">
        <v>105</v>
      </c>
      <c r="B30" s="25" t="s">
        <v>75</v>
      </c>
      <c r="C30" s="19" t="s">
        <v>106</v>
      </c>
      <c r="D30" s="26" t="n">
        <v>0.001154</v>
      </c>
      <c r="E30" s="27" t="n">
        <f aca="false">D30*$C$7</f>
        <v>1442.5</v>
      </c>
      <c r="F30" s="28" t="s">
        <v>51</v>
      </c>
      <c r="G30" s="29" t="s">
        <v>107</v>
      </c>
    </row>
    <row r="31" customFormat="false" ht="15" hidden="false" customHeight="false" outlineLevel="0" collapsed="false">
      <c r="A31" s="30" t="s">
        <v>108</v>
      </c>
      <c r="B31" s="31"/>
      <c r="C31" s="31"/>
      <c r="D31" s="31"/>
      <c r="E31" s="32" t="n">
        <f aca="false">SUM(E27:E30)</f>
        <v>2867.38</v>
      </c>
      <c r="F31" s="31"/>
      <c r="G31" s="31"/>
    </row>
    <row r="32" customFormat="false" ht="15" hidden="false" customHeight="false" outlineLevel="0" collapsed="false">
      <c r="A32" s="23" t="s">
        <v>109</v>
      </c>
      <c r="B32" s="24"/>
      <c r="C32" s="24"/>
      <c r="D32" s="24"/>
      <c r="E32" s="24"/>
      <c r="F32" s="24"/>
      <c r="G32" s="24"/>
    </row>
    <row r="33" customFormat="false" ht="15" hidden="false" customHeight="false" outlineLevel="0" collapsed="false">
      <c r="A33" s="19" t="s">
        <v>110</v>
      </c>
      <c r="B33" s="25" t="s">
        <v>75</v>
      </c>
      <c r="C33" s="19" t="s">
        <v>111</v>
      </c>
      <c r="D33" s="26" t="n">
        <v>0.01</v>
      </c>
      <c r="E33" s="27" t="n">
        <f aca="false">D33*$C$7</f>
        <v>12500</v>
      </c>
      <c r="F33" s="28" t="s">
        <v>51</v>
      </c>
      <c r="G33" s="29" t="s">
        <v>112</v>
      </c>
    </row>
    <row r="34" customFormat="false" ht="15" hidden="false" customHeight="false" outlineLevel="0" collapsed="false">
      <c r="A34" s="19" t="s">
        <v>113</v>
      </c>
      <c r="B34" s="25" t="s">
        <v>75</v>
      </c>
      <c r="C34" s="19" t="s">
        <v>114</v>
      </c>
      <c r="D34" s="26" t="n">
        <v>8.4E-005</v>
      </c>
      <c r="E34" s="27" t="n">
        <f aca="false">D34*$C$7</f>
        <v>105</v>
      </c>
      <c r="F34" s="28" t="s">
        <v>51</v>
      </c>
      <c r="G34" s="29" t="s">
        <v>115</v>
      </c>
    </row>
    <row r="35" customFormat="false" ht="15" hidden="false" customHeight="false" outlineLevel="0" collapsed="false">
      <c r="A35" s="19" t="s">
        <v>116</v>
      </c>
      <c r="B35" s="25" t="s">
        <v>75</v>
      </c>
      <c r="C35" s="19" t="s">
        <v>117</v>
      </c>
      <c r="D35" s="26" t="n">
        <v>0.000432</v>
      </c>
      <c r="E35" s="27" t="n">
        <f aca="false">D35*$C$7</f>
        <v>540</v>
      </c>
      <c r="F35" s="28" t="s">
        <v>51</v>
      </c>
      <c r="G35" s="29" t="s">
        <v>115</v>
      </c>
    </row>
    <row r="36" customFormat="false" ht="15" hidden="false" customHeight="false" outlineLevel="0" collapsed="false">
      <c r="A36" s="19" t="s">
        <v>118</v>
      </c>
      <c r="B36" s="25" t="s">
        <v>75</v>
      </c>
      <c r="C36" s="19" t="s">
        <v>119</v>
      </c>
      <c r="D36" s="26" t="n">
        <v>0.000152</v>
      </c>
      <c r="E36" s="27" t="n">
        <f aca="false">D36*$C$7</f>
        <v>190</v>
      </c>
      <c r="F36" s="28" t="s">
        <v>51</v>
      </c>
      <c r="G36" s="29" t="s">
        <v>115</v>
      </c>
    </row>
    <row r="37" customFormat="false" ht="15" hidden="false" customHeight="false" outlineLevel="0" collapsed="false">
      <c r="A37" s="19" t="s">
        <v>120</v>
      </c>
      <c r="B37" s="25" t="s">
        <v>75</v>
      </c>
      <c r="C37" s="19" t="s">
        <v>121</v>
      </c>
      <c r="D37" s="26" t="n">
        <v>1.1E-005</v>
      </c>
      <c r="E37" s="27" t="n">
        <f aca="false">D37*$C$7</f>
        <v>13.75</v>
      </c>
      <c r="F37" s="28" t="s">
        <v>51</v>
      </c>
      <c r="G37" s="29" t="s">
        <v>115</v>
      </c>
    </row>
    <row r="38" customFormat="false" ht="15" hidden="false" customHeight="false" outlineLevel="0" collapsed="false">
      <c r="A38" s="19" t="s">
        <v>122</v>
      </c>
      <c r="B38" s="25" t="s">
        <v>91</v>
      </c>
      <c r="C38" s="19" t="s">
        <v>92</v>
      </c>
      <c r="D38" s="27" t="n">
        <v>358.26</v>
      </c>
      <c r="E38" s="27" t="n">
        <f aca="false">D38</f>
        <v>358.26</v>
      </c>
      <c r="F38" s="28" t="s">
        <v>51</v>
      </c>
      <c r="G38" s="29" t="s">
        <v>93</v>
      </c>
    </row>
    <row r="39" customFormat="false" ht="15" hidden="false" customHeight="false" outlineLevel="0" collapsed="false">
      <c r="A39" s="30" t="s">
        <v>123</v>
      </c>
      <c r="B39" s="31"/>
      <c r="C39" s="31"/>
      <c r="D39" s="31"/>
      <c r="E39" s="32" t="n">
        <f aca="false">SUM(E33:E38)</f>
        <v>13707.01</v>
      </c>
      <c r="F39" s="31"/>
      <c r="G39" s="31"/>
    </row>
    <row r="40" customFormat="false" ht="15" hidden="false" customHeight="false" outlineLevel="0" collapsed="false">
      <c r="A40" s="34" t="s">
        <v>124</v>
      </c>
      <c r="B40" s="35"/>
      <c r="C40" s="35"/>
      <c r="D40" s="35"/>
      <c r="E40" s="36" t="n">
        <f aca="false">E25+E31+E39</f>
        <v>19349.216</v>
      </c>
      <c r="F40" s="35"/>
      <c r="G40" s="35"/>
    </row>
    <row r="42" customFormat="false" ht="30" hidden="false" customHeight="true" outlineLevel="0" collapsed="false">
      <c r="A42" s="16" t="s">
        <v>125</v>
      </c>
      <c r="B42" s="16"/>
      <c r="C42" s="16"/>
      <c r="D42" s="16"/>
      <c r="E42" s="16"/>
      <c r="F42" s="16"/>
      <c r="G42" s="16"/>
    </row>
    <row r="43" customFormat="false" ht="30" hidden="false" customHeight="true" outlineLevel="0" collapsed="false">
      <c r="A43" s="16" t="s">
        <v>126</v>
      </c>
      <c r="B43" s="16"/>
      <c r="C43" s="16"/>
      <c r="D43" s="16"/>
      <c r="E43" s="16"/>
      <c r="F43" s="16"/>
      <c r="G43" s="16"/>
    </row>
    <row r="44" customFormat="false" ht="30" hidden="false" customHeight="true" outlineLevel="0" collapsed="false">
      <c r="A44" s="16" t="s">
        <v>127</v>
      </c>
      <c r="B44" s="16"/>
      <c r="C44" s="16"/>
      <c r="D44" s="16"/>
      <c r="E44" s="16"/>
      <c r="F44" s="16"/>
      <c r="G44" s="16"/>
    </row>
    <row r="45" customFormat="false" ht="30" hidden="false" customHeight="true" outlineLevel="0" collapsed="false">
      <c r="A45" s="16" t="s">
        <v>128</v>
      </c>
      <c r="B45" s="16"/>
      <c r="C45" s="16"/>
      <c r="D45" s="16"/>
      <c r="E45" s="16"/>
      <c r="F45" s="16"/>
      <c r="G45" s="16"/>
    </row>
  </sheetData>
  <mergeCells count="6">
    <mergeCell ref="A2:G2"/>
    <mergeCell ref="A3:G3"/>
    <mergeCell ref="A42:G42"/>
    <mergeCell ref="A43:G43"/>
    <mergeCell ref="A44:G44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2026-06-18T18:33:41Z</dcterms:created>
  <dc:creator>openpyxl</dc:creator>
  <dc:description/>
  <dc:language>en-US</dc:language>
  <cp:lastModifiedBy/>
  <dcterms:modified xsi:type="dcterms:W3CDTF">2026-06-23T00:38:13Z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