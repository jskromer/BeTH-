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Notes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<sst xmlns="http://schemas.openxmlformats.org/spreadsheetml/2006/main" count="99" uniqueCount="88">
  <si>
    <t xml:space="preserve">Berkeley vs. Neighboring Cities — Homelessness Caseload, Budgets &amp; Spend</t>
  </si>
  <si>
    <t xml:space="preserve">Compiled by Berkeley Transparency Hub (BeTH). Prepared 2026-06-22. Blue = hardcoded input; black = formula. See Notes &amp; Sources tabs.</t>
  </si>
  <si>
    <t xml:space="preserve">City</t>
  </si>
  <si>
    <t xml:space="preserve">County</t>
  </si>
  <si>
    <t xml:space="preserve">PIT count</t>
  </si>
  <si>
    <t xml:space="preserve">Count yr</t>
  </si>
  <si>
    <t xml:space="preserve">Population</t>
  </si>
  <si>
    <t xml:space="preserve">Total budget ($M)</t>
  </si>
  <si>
    <t xml:space="preserve">General fund ($M)</t>
  </si>
  <si>
    <t xml:space="preserve">Homeless spend ($M/yr)</t>
  </si>
  <si>
    <t xml:space="preserve">Homeless per 1,000 res</t>
  </si>
  <si>
    <t xml:space="preserve">Spend per resident ($)</t>
  </si>
  <si>
    <t xml:space="preserve">Spend per unhoused person ($)</t>
  </si>
  <si>
    <t xml:space="preserve">Homeless as % of GF</t>
  </si>
  <si>
    <t xml:space="preserve">Confidence (spend)</t>
  </si>
  <si>
    <t xml:space="preserve">Oakland</t>
  </si>
  <si>
    <t xml:space="preserve">Alameda</t>
  </si>
  <si>
    <t xml:space="preserve">2024</t>
  </si>
  <si>
    <t xml:space="preserve">Mod</t>
  </si>
  <si>
    <t xml:space="preserve">Berkeley</t>
  </si>
  <si>
    <t xml:space="preserve">2026</t>
  </si>
  <si>
    <t xml:space="preserve">Richmond</t>
  </si>
  <si>
    <t xml:space="preserve">Contra Costa</t>
  </si>
  <si>
    <t xml:space="preserve">Low</t>
  </si>
  <si>
    <t xml:space="preserve">Emeryville</t>
  </si>
  <si>
    <t xml:space="preserve">2024 est</t>
  </si>
  <si>
    <t xml:space="preserve">San Pablo</t>
  </si>
  <si>
    <t xml:space="preserve">Albany</t>
  </si>
  <si>
    <t xml:space="preserve">Reading Notes, Caveats &amp; Confidence</t>
  </si>
  <si>
    <t xml:space="preserve">Confidence legend</t>
  </si>
  <si>
    <t xml:space="preserve">High = directly sourced &amp; comparable. Mod = sourced but blended definitions. Low = approximate / small-city figures not cleanly published.</t>
  </si>
  <si>
    <t xml:space="preserve">1. Count years differ</t>
  </si>
  <si>
    <t xml:space="preserve">Berkeley uses the latest (2026) PIT = 880; all others are 2024 PIT. Berkeley's 2024 figure was 844. Cross-year, so treat per-1,000 as indicative, not exact. (Conf: High on Berkeley/Oakland/Richmond counts; Low on Emeryville/Albany totals, which the county posts only as image infographics — Emeryville 37 unsheltered is firm, total ~75 is estimated.)</t>
  </si>
  <si>
    <t xml:space="preserve">2. Cross-county comparability</t>
  </si>
  <si>
    <t xml:space="preserve">Richmond &amp; San Pablo are in the Contra Costa CoC — separate count methodology, generally weaker. West County counts are disputed as undercounts (one San Pablo encampment reportedly ~= the city's whole count). Treat San Pablo = Low.</t>
  </si>
  <si>
    <t xml:space="preserve">3. Homeless-spend definitions are NOT identical</t>
  </si>
  <si>
    <t xml:space="preserve">Berkeley ~$35M blends affordable housing + homeless services (Measure P ~66% of it). Oakland ~$122M includes capital + county pass-through + Measure Q parcel tax. Richmond is lumpy with one-time state grants (e.g., $8.6M encampment grant). Small cities run no meaningful municipal program and rely on county CoC + state grants — their lines (~$0.2-0.5M) are placeholders for 'negligible,' not audited. Direction is robust; exact dollars are not.</t>
  </si>
  <si>
    <t xml:space="preserve">4. Budgets</t>
  </si>
  <si>
    <t xml:space="preserve">Berkeley total ~$830M all-funds (215 funds), GF ~$300M. Oakland total ~$2.1B, general purpose fund ~$819M. Richmond total ~$500M, GF ~$249M (Chevron ~24% of it). Small-city GF figures are approximate.</t>
  </si>
  <si>
    <t xml:space="preserve">5. The magnet caveat</t>
  </si>
  <si>
    <t xml:space="preserve">Part of Berkeley's higher per-capita caseload reflects that it PROVIDES more shelter/services, which attract and retain unhoused people. Don't read the gap as pure underperformance.</t>
  </si>
  <si>
    <t xml:space="preserve">6. Strategic exposure (the through-line)</t>
  </si>
  <si>
    <t xml:space="preserve">Berkeley uniquely combines: 2nd-highest per-capita caseload in the cluster (after Oakland), top-tier per-person spend, highest homeless share of GF among peers, and ~66% of homeless funding riding on the Real Property Transfer Tax (Measure P). The HJTA 'Local Taxpayer Protection Act' on the Nov 3 2026 ballot would cap charter-city transfer taxes at 0.11% (existing ones sunset 2 yrs after adoption), directly threatening that funding. No neighbor carries all four exposures. Oakland leans on Measure Q (a parcel tax, not cap-exposed).</t>
  </si>
  <si>
    <t xml:space="preserve">7. Berkeley fiscal context</t>
  </si>
  <si>
    <t xml:space="preserve">Berkeley carries a ~$29-33M structural deficit (FY27). A transfer-tax cap would add a loss on the order of the entire existing deficit again.</t>
  </si>
  <si>
    <t xml:space="preserve">Sources</t>
  </si>
  <si>
    <t xml:space="preserve">Topic</t>
  </si>
  <si>
    <t xml:space="preserve">Title</t>
  </si>
  <si>
    <t xml:space="preserve">URL</t>
  </si>
  <si>
    <t xml:space="preserve">Berkeley homeless count &amp; spend</t>
  </si>
  <si>
    <t xml:space="preserve">Homelessness is down in Alameda County — Berkeleyside (May 2026)</t>
  </si>
  <si>
    <t xml:space="preserve">https://www.berkeleyside.org/2026/05/28/berkeley-homeless-population-alameda-county</t>
  </si>
  <si>
    <t xml:space="preserve">Berkeley unsheltered -45%</t>
  </si>
  <si>
    <t xml:space="preserve">Homeless count shows 45% drop — Berkeleyside (May 2024)</t>
  </si>
  <si>
    <t xml:space="preserve">https://www.berkeleyside.org/2024/05/15/homeless-count-shows-45-drop-in-unsheltered-people-in-berkeley</t>
  </si>
  <si>
    <t xml:space="preserve">Berkeley Measure P share</t>
  </si>
  <si>
    <t xml:space="preserve">Measure P and Impact on Homeless Services (City of Berkeley)</t>
  </si>
  <si>
    <t xml:space="preserve">https://berkeleyca.gov/sites/default/files/legislative-body-meeting-attachments/2025-06-12%20Item%2002%20Supplemental%20Materials_2025-03-28%20Measure%20P%20and%20Impact%20on%20Homeless%20Services%20in%20Berkeley.pdf</t>
  </si>
  <si>
    <t xml:space="preserve">Berkeley budget / deficit</t>
  </si>
  <si>
    <t xml:space="preserve">Berkeley considers 10% budget cuts, $29M deficit — Berkeley Scanner (Jan 2026)</t>
  </si>
  <si>
    <t xml:space="preserve">https://www.berkeleyscanner.com/2026/01/01/community/berkeley-budget-cuts-deficit-expected/</t>
  </si>
  <si>
    <t xml:space="preserve">Berkeley city budget portal</t>
  </si>
  <si>
    <t xml:space="preserve">City Budget — City of Berkeley</t>
  </si>
  <si>
    <t xml:space="preserve">https://berkeleyca.gov/your-government/financial-information/city-budget</t>
  </si>
  <si>
    <t xml:space="preserve">Oakland homeless spend $122M</t>
  </si>
  <si>
    <t xml:space="preserve">Oakland spends $120M a year on homelessness — Oaklandside</t>
  </si>
  <si>
    <t xml:space="preserve">https://oaklandside.org/2022/11/28/oakland-spends-120-million-on-homelessness-carroll-fife/</t>
  </si>
  <si>
    <t xml:space="preserve">Oakland PIT 5,490</t>
  </si>
  <si>
    <t xml:space="preserve">Homelessness grew 9% in Oakland — Oaklandside (May 2024)</t>
  </si>
  <si>
    <t xml:space="preserve">https://oaklandside.org/2024/05/15/pit-count-oakland-homeless-numbers/</t>
  </si>
  <si>
    <t xml:space="preserve">Oakland budget</t>
  </si>
  <si>
    <t xml:space="preserve">Balancing Oakland's Budget — SPUR (May 2025)</t>
  </si>
  <si>
    <t xml:space="preserve">https://www.spur.org/sites/default/files/2025-05/SPUR_Oakland_Budget.pdf</t>
  </si>
  <si>
    <t xml:space="preserve">Richmond &amp; San Pablo counts</t>
  </si>
  <si>
    <t xml:space="preserve">Contra Costa 2024 Homeless Count — GRIP</t>
  </si>
  <si>
    <t xml:space="preserve">https://gripcares.org/wp-content/uploads/2024/06/Contra-Costa-2024-Homeless-Count.pdf</t>
  </si>
  <si>
    <t xml:space="preserve">Richmond budget</t>
  </si>
  <si>
    <t xml:space="preserve">Richmond adopts 2025 budget — Richmondside (Jun 2025)</t>
  </si>
  <si>
    <t xml:space="preserve">https://richmondside.org/2025/06/25/richmond-city-council-adopts-budget-2025/</t>
  </si>
  <si>
    <t xml:space="preserve">Alameda Co. PIT (Albany/Emeryville)</t>
  </si>
  <si>
    <t xml:space="preserve">Alameda County 2024 PIT data portal</t>
  </si>
  <si>
    <t xml:space="preserve">https://homelessness.acgov.org/data_point_in_time.page</t>
  </si>
  <si>
    <t xml:space="preserve">Emeryville count</t>
  </si>
  <si>
    <t xml:space="preserve">Emeryville's homelessness count relatively flat — E'ville Eye</t>
  </si>
  <si>
    <t xml:space="preserve">https://evilleeye.com/news-commentary/emeryvilles-homelessness-reduction-flat-despite-new-housing-influx/</t>
  </si>
  <si>
    <t xml:space="preserve">Transfer-tax cap measure</t>
  </si>
  <si>
    <t xml:space="preserve">Charter City Real Estate Transfer Tax Prohibition Initiative (2026) — Ballotpedia</t>
  </si>
  <si>
    <t xml:space="preserve">https://ballotpedia.org/California_Two-Thirds_Vote_Requirement_for_Special_Taxes_and_Charter_City_Real_Estate_Transfer_Tax_Prohibition_Initiative_(2026)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</si>
</sst>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erkeleyside.org/2026/05/28/berkeley-homeless-population-alameda-county" TargetMode="External"/><Relationship Id="rId2" Type="http://schemas.openxmlformats.org/officeDocument/2006/relationships/hyperlink" Target="https://www.berkeleyside.org/2024/05/15/homeless-count-shows-45-drop-in-unsheltered-people-in-berkeley" TargetMode="External"/><Relationship Id="rId3" Type="http://schemas.openxmlformats.org/officeDocument/2006/relationships/hyperlink" Target="https://berkeleyca.gov/sites/default/files/legislative-body-meeting-attachments/2025-06-12%20Item%2002%20Supplemental%20Materials_2025-03-28%20Measure%20P%20and%20Impact%20on%20Homeless%20Services%20in%20Berkeley.pdf" TargetMode="External"/><Relationship Id="rId4" Type="http://schemas.openxmlformats.org/officeDocument/2006/relationships/hyperlink" Target="https://www.berkeleyscanner.com/2026/01/01/community/berkeley-budget-cuts-deficit-expected/" TargetMode="External"/><Relationship Id="rId5" Type="http://schemas.openxmlformats.org/officeDocument/2006/relationships/hyperlink" Target="https://berkeleyca.gov/your-government/financial-information/city-budget" TargetMode="External"/><Relationship Id="rId6" Type="http://schemas.openxmlformats.org/officeDocument/2006/relationships/hyperlink" Target="https://oaklandside.org/2022/11/28/oakland-spends-120-million-on-homelessness-carroll-fife/" TargetMode="External"/><Relationship Id="rId7" Type="http://schemas.openxmlformats.org/officeDocument/2006/relationships/hyperlink" Target="https://oaklandside.org/2024/05/15/pit-count-oakland-homeless-numbers/" TargetMode="External"/><Relationship Id="rId8" Type="http://schemas.openxmlformats.org/officeDocument/2006/relationships/hyperlink" Target="https://www.spur.org/sites/default/files/2025-05/SPUR_Oakland_Budget.pdf" TargetMode="External"/><Relationship Id="rId9" Type="http://schemas.openxmlformats.org/officeDocument/2006/relationships/hyperlink" Target="https://gripcares.org/wp-content/uploads/2024/06/Contra-Costa-2024-Homeless-Count.pdf" TargetMode="External"/><Relationship Id="rId10" Type="http://schemas.openxmlformats.org/officeDocument/2006/relationships/hyperlink" Target="https://richmondside.org/2025/06/25/richmond-city-council-adopts-budget-2025/" TargetMode="External"/><Relationship Id="rId11" Type="http://schemas.openxmlformats.org/officeDocument/2006/relationships/hyperlink" Target="https://homelessness.acgov.org/data_point_in_time.page" TargetMode="External"/><Relationship Id="rId12" Type="http://schemas.openxmlformats.org/officeDocument/2006/relationships/hyperlink" Target="https://evilleeye.com/news-commentary/emeryvilles-homelessness-reduction-flat-despite-new-housing-influx/" TargetMode="External"/><Relationship Id="rId13" Type="http://schemas.openxmlformats.org/officeDocument/2006/relationships/hyperlink" Target="https://ballotpedia.org/California_Two-Thirds_Vote_Requirement_for_Special_Taxes_and_Charter_City_Real_Estate_Transfer_Tax_Prohibition_Initiative_(2026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5" t="n">
        <v>5490</v>
      </c>
      <c r="D5" s="6" t="s">
        <v>17</v>
      </c>
      <c r="E5" s="5" t="n">
        <v>435000</v>
      </c>
      <c r="F5" s="7" t="n">
        <v>2100</v>
      </c>
      <c r="G5" s="7" t="n">
        <v>819</v>
      </c>
      <c r="H5" s="7" t="n">
        <v>122</v>
      </c>
      <c r="I5" s="8" t="n">
        <f aca="false">C5/E5*1000</f>
        <v>12.6206896551724</v>
      </c>
      <c r="J5" s="9" t="n">
        <f aca="false">H5*1000000/E5</f>
        <v>280.459770114943</v>
      </c>
      <c r="K5" s="9" t="n">
        <f aca="false">H5*1000000/C5</f>
        <v>22222.2222222222</v>
      </c>
      <c r="L5" s="10" t="n">
        <f aca="false">H5/G5</f>
        <v>0.148962148962149</v>
      </c>
      <c r="M5" s="6" t="s">
        <v>18</v>
      </c>
    </row>
    <row r="6" customFormat="false" ht="15" hidden="false" customHeight="false" outlineLevel="0" collapsed="false">
      <c r="A6" s="11" t="s">
        <v>19</v>
      </c>
      <c r="B6" s="11" t="s">
        <v>16</v>
      </c>
      <c r="C6" s="12" t="n">
        <v>880</v>
      </c>
      <c r="D6" s="13" t="s">
        <v>20</v>
      </c>
      <c r="E6" s="12" t="n">
        <v>120000</v>
      </c>
      <c r="F6" s="14" t="n">
        <v>830</v>
      </c>
      <c r="G6" s="14" t="n">
        <v>300</v>
      </c>
      <c r="H6" s="14" t="n">
        <v>35</v>
      </c>
      <c r="I6" s="15" t="n">
        <f aca="false">C6/E6*1000</f>
        <v>7.33333333333333</v>
      </c>
      <c r="J6" s="16" t="n">
        <f aca="false">H6*1000000/E6</f>
        <v>291.666666666667</v>
      </c>
      <c r="K6" s="16" t="n">
        <f aca="false">H6*1000000/C6</f>
        <v>39772.7272727273</v>
      </c>
      <c r="L6" s="17" t="n">
        <f aca="false">H6/G6</f>
        <v>0.116666666666667</v>
      </c>
      <c r="M6" s="13" t="s">
        <v>18</v>
      </c>
    </row>
    <row r="7" customFormat="false" ht="15" hidden="false" customHeight="false" outlineLevel="0" collapsed="false">
      <c r="A7" s="4" t="s">
        <v>21</v>
      </c>
      <c r="B7" s="4" t="s">
        <v>22</v>
      </c>
      <c r="C7" s="5" t="n">
        <v>388</v>
      </c>
      <c r="D7" s="6" t="s">
        <v>17</v>
      </c>
      <c r="E7" s="5" t="n">
        <v>115000</v>
      </c>
      <c r="F7" s="7" t="n">
        <v>500</v>
      </c>
      <c r="G7" s="7" t="n">
        <v>249</v>
      </c>
      <c r="H7" s="7" t="n">
        <v>7.5</v>
      </c>
      <c r="I7" s="8" t="n">
        <f aca="false">C7/E7*1000</f>
        <v>3.37391304347826</v>
      </c>
      <c r="J7" s="9" t="n">
        <f aca="false">H7*1000000/E7</f>
        <v>65.2173913043478</v>
      </c>
      <c r="K7" s="9" t="n">
        <f aca="false">H7*1000000/C7</f>
        <v>19329.8969072165</v>
      </c>
      <c r="L7" s="10" t="n">
        <f aca="false">H7/G7</f>
        <v>0.0301204819277108</v>
      </c>
      <c r="M7" s="6" t="s">
        <v>23</v>
      </c>
    </row>
    <row r="8" customFormat="false" ht="15" hidden="false" customHeight="false" outlineLevel="0" collapsed="false">
      <c r="A8" s="4" t="s">
        <v>24</v>
      </c>
      <c r="B8" s="4" t="s">
        <v>16</v>
      </c>
      <c r="C8" s="5" t="n">
        <v>75</v>
      </c>
      <c r="D8" s="6" t="s">
        <v>25</v>
      </c>
      <c r="E8" s="5" t="n">
        <v>12900</v>
      </c>
      <c r="F8" s="7" t="n">
        <v>70</v>
      </c>
      <c r="G8" s="7" t="n">
        <v>45</v>
      </c>
      <c r="H8" s="7" t="n">
        <v>0.5</v>
      </c>
      <c r="I8" s="8" t="n">
        <f aca="false">C8/E8*1000</f>
        <v>5.81395348837209</v>
      </c>
      <c r="J8" s="9" t="n">
        <f aca="false">H8*1000000/E8</f>
        <v>38.7596899224806</v>
      </c>
      <c r="K8" s="9" t="n">
        <f aca="false">H8*1000000/C8</f>
        <v>6666.66666666667</v>
      </c>
      <c r="L8" s="10" t="n">
        <f aca="false">H8/G8</f>
        <v>0.0111111111111111</v>
      </c>
      <c r="M8" s="6" t="s">
        <v>23</v>
      </c>
    </row>
    <row r="9" customFormat="false" ht="15" hidden="false" customHeight="false" outlineLevel="0" collapsed="false">
      <c r="A9" s="4" t="s">
        <v>26</v>
      </c>
      <c r="B9" s="4" t="s">
        <v>22</v>
      </c>
      <c r="C9" s="5" t="n">
        <v>35</v>
      </c>
      <c r="D9" s="6" t="s">
        <v>17</v>
      </c>
      <c r="E9" s="5" t="n">
        <v>32000</v>
      </c>
      <c r="F9" s="7" t="n">
        <v>50</v>
      </c>
      <c r="G9" s="7" t="n">
        <v>40</v>
      </c>
      <c r="H9" s="7" t="n">
        <v>0.3</v>
      </c>
      <c r="I9" s="8" t="n">
        <f aca="false">C9/E9*1000</f>
        <v>1.09375</v>
      </c>
      <c r="J9" s="9" t="n">
        <f aca="false">H9*1000000/E9</f>
        <v>9.375</v>
      </c>
      <c r="K9" s="9" t="n">
        <f aca="false">H9*1000000/C9</f>
        <v>8571.42857142857</v>
      </c>
      <c r="L9" s="10" t="n">
        <f aca="false">H9/G9</f>
        <v>0.0075</v>
      </c>
      <c r="M9" s="6" t="s">
        <v>23</v>
      </c>
    </row>
    <row r="10" customFormat="false" ht="15" hidden="false" customHeight="false" outlineLevel="0" collapsed="false">
      <c r="A10" s="4" t="s">
        <v>27</v>
      </c>
      <c r="B10" s="4" t="s">
        <v>16</v>
      </c>
      <c r="C10" s="5" t="n">
        <v>30</v>
      </c>
      <c r="D10" s="6" t="s">
        <v>25</v>
      </c>
      <c r="E10" s="5" t="n">
        <v>20000</v>
      </c>
      <c r="F10" s="7" t="n">
        <v>35</v>
      </c>
      <c r="G10" s="7" t="n">
        <v>25</v>
      </c>
      <c r="H10" s="7" t="n">
        <v>0.2</v>
      </c>
      <c r="I10" s="8" t="n">
        <f aca="false">C10/E10*1000</f>
        <v>1.5</v>
      </c>
      <c r="J10" s="9" t="n">
        <f aca="false">H10*1000000/E10</f>
        <v>10</v>
      </c>
      <c r="K10" s="9" t="n">
        <f aca="false">H10*1000000/C10</f>
        <v>6666.66666666667</v>
      </c>
      <c r="L10" s="10" t="n">
        <f aca="false">H10/G10</f>
        <v>0.008</v>
      </c>
      <c r="M10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28</v>
      </c>
    </row>
    <row r="3" customFormat="false" ht="57.75" hidden="false" customHeight="true" outlineLevel="0" collapsed="false">
      <c r="A3" s="18" t="s">
        <v>29</v>
      </c>
      <c r="B3" s="19" t="s">
        <v>30</v>
      </c>
    </row>
    <row r="4" customFormat="false" ht="57.75" hidden="false" customHeight="true" outlineLevel="0" collapsed="false">
      <c r="A4" s="18" t="s">
        <v>31</v>
      </c>
      <c r="B4" s="19" t="s">
        <v>32</v>
      </c>
    </row>
    <row r="5" customFormat="false" ht="57.75" hidden="false" customHeight="true" outlineLevel="0" collapsed="false">
      <c r="A5" s="18" t="s">
        <v>33</v>
      </c>
      <c r="B5" s="19" t="s">
        <v>34</v>
      </c>
    </row>
    <row r="6" customFormat="false" ht="57.75" hidden="false" customHeight="true" outlineLevel="0" collapsed="false">
      <c r="A6" s="18" t="s">
        <v>35</v>
      </c>
      <c r="B6" s="19" t="s">
        <v>36</v>
      </c>
    </row>
    <row r="7" customFormat="false" ht="57.75" hidden="false" customHeight="true" outlineLevel="0" collapsed="false">
      <c r="A7" s="18" t="s">
        <v>37</v>
      </c>
      <c r="B7" s="19" t="s">
        <v>38</v>
      </c>
    </row>
    <row r="8" customFormat="false" ht="57.75" hidden="false" customHeight="true" outlineLevel="0" collapsed="false">
      <c r="A8" s="18" t="s">
        <v>39</v>
      </c>
      <c r="B8" s="19" t="s">
        <v>40</v>
      </c>
    </row>
    <row r="9" customFormat="false" ht="57.75" hidden="false" customHeight="true" outlineLevel="0" collapsed="false">
      <c r="A9" s="18" t="s">
        <v>41</v>
      </c>
      <c r="B9" s="19" t="s">
        <v>42</v>
      </c>
    </row>
    <row r="10" customFormat="false" ht="57.75" hidden="false" customHeight="true" outlineLevel="0" collapsed="false">
      <c r="A10" s="18" t="s">
        <v>43</v>
      </c>
      <c r="B10" s="1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20" t="s">
        <v>46</v>
      </c>
      <c r="B3" s="20" t="s">
        <v>47</v>
      </c>
      <c r="C3" s="20" t="s">
        <v>48</v>
      </c>
    </row>
    <row r="4" customFormat="false" ht="15" hidden="false" customHeight="false" outlineLevel="0" collapsed="false">
      <c r="A4" s="21" t="s">
        <v>49</v>
      </c>
      <c r="B4" s="21" t="s">
        <v>50</v>
      </c>
      <c r="C4" s="22" t="s">
        <v>51</v>
      </c>
    </row>
    <row r="5" customFormat="false" ht="15" hidden="false" customHeight="false" outlineLevel="0" collapsed="false">
      <c r="A5" s="21" t="s">
        <v>52</v>
      </c>
      <c r="B5" s="21" t="s">
        <v>53</v>
      </c>
      <c r="C5" s="22" t="s">
        <v>54</v>
      </c>
    </row>
    <row r="6" customFormat="false" ht="15" hidden="false" customHeight="false" outlineLevel="0" collapsed="false">
      <c r="A6" s="21" t="s">
        <v>55</v>
      </c>
      <c r="B6" s="21" t="s">
        <v>56</v>
      </c>
      <c r="C6" s="22" t="s">
        <v>57</v>
      </c>
    </row>
    <row r="7" customFormat="false" ht="23.85" hidden="false" customHeight="false" outlineLevel="0" collapsed="false">
      <c r="A7" s="21" t="s">
        <v>58</v>
      </c>
      <c r="B7" s="21" t="s">
        <v>59</v>
      </c>
      <c r="C7" s="22" t="s">
        <v>60</v>
      </c>
    </row>
    <row r="8" customFormat="false" ht="15" hidden="false" customHeight="false" outlineLevel="0" collapsed="false">
      <c r="A8" s="21" t="s">
        <v>61</v>
      </c>
      <c r="B8" s="21" t="s">
        <v>62</v>
      </c>
      <c r="C8" s="22" t="s">
        <v>63</v>
      </c>
    </row>
    <row r="9" customFormat="false" ht="15" hidden="false" customHeight="false" outlineLevel="0" collapsed="false">
      <c r="A9" s="21" t="s">
        <v>64</v>
      </c>
      <c r="B9" s="21" t="s">
        <v>65</v>
      </c>
      <c r="C9" s="22" t="s">
        <v>66</v>
      </c>
    </row>
    <row r="10" customFormat="false" ht="15" hidden="false" customHeight="false" outlineLevel="0" collapsed="false">
      <c r="A10" s="21" t="s">
        <v>67</v>
      </c>
      <c r="B10" s="21" t="s">
        <v>68</v>
      </c>
      <c r="C10" s="22" t="s">
        <v>69</v>
      </c>
    </row>
    <row r="11" customFormat="false" ht="15" hidden="false" customHeight="false" outlineLevel="0" collapsed="false">
      <c r="A11" s="21" t="s">
        <v>70</v>
      </c>
      <c r="B11" s="21" t="s">
        <v>71</v>
      </c>
      <c r="C11" s="22" t="s">
        <v>72</v>
      </c>
    </row>
    <row r="12" customFormat="false" ht="15" hidden="false" customHeight="false" outlineLevel="0" collapsed="false">
      <c r="A12" s="21" t="s">
        <v>73</v>
      </c>
      <c r="B12" s="21" t="s">
        <v>74</v>
      </c>
      <c r="C12" s="22" t="s">
        <v>75</v>
      </c>
    </row>
    <row r="13" customFormat="false" ht="15" hidden="false" customHeight="false" outlineLevel="0" collapsed="false">
      <c r="A13" s="21" t="s">
        <v>76</v>
      </c>
      <c r="B13" s="21" t="s">
        <v>77</v>
      </c>
      <c r="C13" s="22" t="s">
        <v>78</v>
      </c>
    </row>
    <row r="14" customFormat="false" ht="23.85" hidden="false" customHeight="false" outlineLevel="0" collapsed="false">
      <c r="A14" s="21" t="s">
        <v>79</v>
      </c>
      <c r="B14" s="21" t="s">
        <v>80</v>
      </c>
      <c r="C14" s="22" t="s">
        <v>81</v>
      </c>
    </row>
    <row r="15" customFormat="false" ht="15" hidden="false" customHeight="false" outlineLevel="0" collapsed="false">
      <c r="A15" s="21" t="s">
        <v>82</v>
      </c>
      <c r="B15" s="21" t="s">
        <v>83</v>
      </c>
      <c r="C15" s="22" t="s">
        <v>84</v>
      </c>
    </row>
    <row r="16" customFormat="false" ht="23.85" hidden="false" customHeight="false" outlineLevel="0" collapsed="false">
      <c r="A16" s="21" t="s">
        <v>85</v>
      </c>
      <c r="B16" s="21" t="s">
        <v>86</v>
      </c>
      <c r="C16" s="22" t="s">
        <v>87</v>
      </c>
    </row>
  </sheetData>
  <hyperlinks>
    <hyperlink ref="C4" r:id="rId1" display="https://www.berkeleyside.org/2026/05/28/berkeley-homeless-population-alameda-county"/>
    <hyperlink ref="C5" r:id="rId2" display="https://www.berkeleyside.org/2024/05/15/homeless-count-shows-45-drop-in-unsheltered-people-in-berkeley"/>
    <hyperlink ref="C6" r:id="rId3" display="https://berkeleyca.gov/sites/default/files/legislative-body-meeting-attachments/2025-06-12%20Item%2002%20Supplemental%20Materials_2025-03-28%20Measure%20P%20and%20Impact%20on%20Homeless%20Services%20in%20Berkeley.pdf"/>
    <hyperlink ref="C7" r:id="rId4" display="https://www.berkeleyscanner.com/2026/01/01/community/berkeley-budget-cuts-deficit-expected/"/>
    <hyperlink ref="C8" r:id="rId5" display="https://berkeleyca.gov/your-government/financial-information/city-budget"/>
    <hyperlink ref="C9" r:id="rId6" display="https://oaklandside.org/2022/11/28/oakland-spends-120-million-on-homelessness-carroll-fife/"/>
    <hyperlink ref="C10" r:id="rId7" display="https://oaklandside.org/2024/05/15/pit-count-oakland-homeless-numbers/"/>
    <hyperlink ref="C11" r:id="rId8" display="https://www.spur.org/sites/default/files/2025-05/SPUR_Oakland_Budget.pdf"/>
    <hyperlink ref="C12" r:id="rId9" display="https://gripcares.org/wp-content/uploads/2024/06/Contra-Costa-2024-Homeless-Count.pdf"/>
    <hyperlink ref="C13" r:id="rId10" display="https://richmondside.org/2025/06/25/richmond-city-council-adopts-budget-2025/"/>
    <hyperlink ref="C14" r:id="rId11" display="https://homelessness.acgov.org/data_point_in_time.page"/>
    <hyperlink ref="C15" r:id="rId12" display="https://evilleeye.com/news-commentary/emeryvilles-homelessness-reduction-flat-despite-new-housing-influx/"/>
    <hyperlink ref="C16" r:id="rId13" display="https://ballotpedia.org/California_Two-Thirds_Vote_Requirement_for_Special_Taxes_and_Charter_City_Real_Estate_Transfer_Tax_Prohibition_Initiative_(2026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2026-06-22T18:11:25Z</dcterms:created>
  <dc:creator>openpyxl</dc:creator>
  <dc:description/>
  <dc:language>en-US</dc:language>
  <cp:lastModifiedBy/>
  <dcterms:modified xsi:type="dcterms:W3CDTF">2026-06-22T18:11:25Z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