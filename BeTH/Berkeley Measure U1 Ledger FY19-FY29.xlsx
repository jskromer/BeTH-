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ohnstephenkromer/Documents/GitHub/BeTH /BeTH/"/>
    </mc:Choice>
  </mc:AlternateContent>
  <xr:revisionPtr revIDLastSave="0" documentId="8_{372E63FF-D184-2941-8A9E-B73BFB300762}" xr6:coauthVersionLast="47" xr6:coauthVersionMax="47" xr10:uidLastSave="{00000000-0000-0000-0000-000000000000}"/>
  <bookViews>
    <workbookView xWindow="6040" yWindow="2700" windowWidth="33320" windowHeight="20000" tabRatio="500" xr2:uid="{00000000-000D-0000-FFFF-FFFF00000000}"/>
  </bookViews>
  <sheets>
    <sheet name="Summary" sheetId="1" r:id="rId1"/>
    <sheet name="Detail FY19-24" sheetId="2" r:id="rId2"/>
    <sheet name="Detail FY25-29" sheetId="3" r:id="rId3"/>
    <sheet name="Notes &amp; Sourc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3" l="1"/>
  <c r="E9" i="3"/>
  <c r="F9" i="3"/>
  <c r="G9" i="3"/>
  <c r="C9" i="3"/>
  <c r="L15" i="1"/>
  <c r="K15" i="1"/>
  <c r="J15" i="1"/>
  <c r="M13" i="1"/>
  <c r="M15" i="1" s="1"/>
  <c r="L13" i="1"/>
  <c r="K13" i="1"/>
  <c r="J13" i="1"/>
  <c r="I13" i="1"/>
  <c r="I15" i="1" s="1"/>
  <c r="H13" i="1"/>
  <c r="H15" i="1" s="1"/>
  <c r="G13" i="1"/>
  <c r="G15" i="1" s="1"/>
  <c r="F13" i="1"/>
  <c r="F15" i="1" s="1"/>
  <c r="E13" i="1"/>
  <c r="E15" i="1" s="1"/>
  <c r="D13" i="1"/>
  <c r="D15" i="1" s="1"/>
  <c r="C13" i="1"/>
  <c r="C15" i="1" s="1"/>
  <c r="M10" i="1"/>
  <c r="M14" i="1" s="1"/>
  <c r="L10" i="1"/>
  <c r="L14" i="1" s="1"/>
  <c r="K10" i="1"/>
  <c r="K14" i="1" s="1"/>
  <c r="J10" i="1"/>
  <c r="J14" i="1" s="1"/>
  <c r="I10" i="1"/>
  <c r="I14" i="1" s="1"/>
  <c r="H10" i="1"/>
  <c r="H14" i="1" s="1"/>
  <c r="G10" i="1"/>
  <c r="G14" i="1" s="1"/>
  <c r="F10" i="1"/>
  <c r="F14" i="1" s="1"/>
  <c r="E10" i="1"/>
  <c r="E14" i="1" s="1"/>
  <c r="D10" i="1"/>
  <c r="D14" i="1" s="1"/>
  <c r="C10" i="1"/>
  <c r="C14" i="1" s="1"/>
</calcChain>
</file>

<file path=xl/sharedStrings.xml><?xml version="1.0" encoding="utf-8"?>
<sst xmlns="http://schemas.openxmlformats.org/spreadsheetml/2006/main" count="126" uniqueCount="104">
  <si>
    <t>City of Berkeley — Measure U1 Fund: Consolidated Ledger</t>
  </si>
  <si>
    <t>Where U1 dollars have gone, FY2019–FY2029 (segregated U1 fund created FY2021)</t>
  </si>
  <si>
    <t>All figures $ nominal. Inputs (blue) are hardcoded from City source docs; subtotals (black) are formulas. See Notes &amp; Sources tab.</t>
  </si>
  <si>
    <t>Fund Flow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</si>
  <si>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</si>
  <si>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</si>
  <si>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</si>
  <si>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</si>
  <si>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</si>
  <si>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</si>
  <si>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</si>
  <si>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</si>
  <si>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</si>
  <si>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</si>
  <si>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</si>
  <si>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Beginning Fund Balance</t>
  </si>
  <si>
    <t xml:space="preserve">  + Annual U1 tax revenue</t>
  </si>
  <si>
    <t xml:space="preserve">  + One-time GF balance transfer (FY21)</t>
  </si>
  <si>
    <t xml:space="preserve">  ± Encumbrances / commitments adj.</t>
  </si>
  <si>
    <t>Total Available</t>
  </si>
  <si>
    <t xml:space="preserve">  − Personnel / Admin</t>
  </si>
  <si>
    <t xml:space="preserve">  − Program / Non-Personnel</t>
  </si>
  <si>
    <t>Total Expenditures</t>
  </si>
  <si>
    <t>Ending Fund Balance</t>
  </si>
  <si>
    <t>Personnel/Admin as % of total spend</t>
  </si>
  <si>
    <t>Reading the table:</t>
  </si>
  <si>
    <t>• U1 is not a restricted account — annual revenue is general-fund money. From FY25 the city stopped booking actual U1 tax receipts and</t>
  </si>
  <si>
    <t xml:space="preserve">   instead budgets a fixed ~$6.5M 'transfer from the General Fund,' decoupling the U1 budget from what the tax actually collects.</t>
  </si>
  <si>
    <t>• FY26 (proposed) shows ~$13.1M of spend against ~$6.5M revenue — a ~$6.6M fund-balance drawdown. That drawdown is the mechanism</t>
  </si>
  <si>
    <t xml:space="preserve">   behind pulling Small Sites money to backfill the structural deficit.</t>
  </si>
  <si>
    <t>• Personnel/Admin climbs from ~5% of spend (FY19) toward ~30%+ in lean program years, and now includes staffing for the Empty Homes Tax</t>
  </si>
  <si>
    <t xml:space="preserve">   (a different measure) and a Finance 'Revenue Development' position.</t>
  </si>
  <si>
    <t xml:space="preserve">• Seam warning: FY24 ending balance in the 2022-vintage doc ($5.16M) ≠ FY25 beginning in the 2025-vintage doc ($7.40M); different vintages, </t>
  </si>
  <si>
    <t xml:space="preserve">   later actuals differ. Treat each block as internally consistent, the cross-block balance hand-off as approximate.</t>
  </si>
  <si>
    <t>Detail FY19-24</t>
  </si>
  <si>
    <t>Source: Mayor's FY2023-24 Supplemental Budget Recommendations, 6/28/2022 (Item 44 Supp, 'Measure U1 Budget' table). Blank = no entry in source. A few single-year items in the source had ambiguous column placement; where uncertain they are placed per best reconciliation and flagged in Notes.</t>
  </si>
  <si>
    <t>Line item</t>
  </si>
  <si>
    <t>REVENUE</t>
  </si>
  <si>
    <t xml:space="preserve">   Annual U1 tax revenue</t>
  </si>
  <si>
    <t xml:space="preserve">   One-time U1 balance transferred from General Fund (FY21)</t>
  </si>
  <si>
    <t>PERSONNEL / ADMIN</t>
  </si>
  <si>
    <t xml:space="preserve">   Finance — Rev. Development position &amp; admin</t>
  </si>
  <si>
    <t xml:space="preserve">   HHCS — Measure O / Housing Trust Fund staffing</t>
  </si>
  <si>
    <t>Subtotal — Personnel/Admin</t>
  </si>
  <si>
    <t>PROGRAM — SMALL SITES / COMMUNITY LAND TRUSTS</t>
  </si>
  <si>
    <t xml:space="preserve">   1638 Stuart / Small Sites loan (BACLT)</t>
  </si>
  <si>
    <t xml:space="preserve">   2321–2323 10th St. loan (NCLT)</t>
  </si>
  <si>
    <t xml:space="preserve">   Small Sites Program — unallocated</t>
  </si>
  <si>
    <t>PROGRAM — HOUSING TRUST FUND / DEVELOPMENT</t>
  </si>
  <si>
    <t xml:space="preserve">   2001 Ashby predevelopment (RCD)</t>
  </si>
  <si>
    <t xml:space="preserve">   2527 San Pablo Ave (SAHA)</t>
  </si>
  <si>
    <t xml:space="preserve">   2012 Berkeley Way reserves (BRIDGE/BFHP)</t>
  </si>
  <si>
    <t xml:space="preserve">   Housing Trust Fund Program (block allocation)</t>
  </si>
  <si>
    <t>PROGRAM — NEW HOUSING PROGRAMS</t>
  </si>
  <si>
    <t xml:space="preserve">   Organizational Capacity Bldg / Emerging Developers (BACLT)</t>
  </si>
  <si>
    <t xml:space="preserve">   BUSD Planning Grant</t>
  </si>
  <si>
    <t xml:space="preserve">   New Housing Programs / Land Trust / Coops</t>
  </si>
  <si>
    <t xml:space="preserve">   Social Housing policy study (Taplin/Arreguín/Harrison/Hahn)</t>
  </si>
  <si>
    <t>PROGRAM — ANTI-DISPLACEMENT / EVICTION DEFENSE</t>
  </si>
  <si>
    <t xml:space="preserve">   Rent Board (EDC &amp; EBCLC)</t>
  </si>
  <si>
    <t xml:space="preserve">   East Bay Community Law Center (EBCLC)</t>
  </si>
  <si>
    <t xml:space="preserve">   Housing Retention Program (EBCLC)</t>
  </si>
  <si>
    <t xml:space="preserve">   Eviction Defense Center (EDC)</t>
  </si>
  <si>
    <t xml:space="preserve">   Flexible Housing Subsidy Pool (BACS)</t>
  </si>
  <si>
    <t>PROGRAM — OTHER CITY PRIORITIES</t>
  </si>
  <si>
    <t xml:space="preserve">   Berkeley Relief Fund (COVID)</t>
  </si>
  <si>
    <t xml:space="preserve">   1001/1011 University Ave. acquisition</t>
  </si>
  <si>
    <t xml:space="preserve">   Landlord incentives for Section 8 participation</t>
  </si>
  <si>
    <t>TOTAL EXPENDITURES (per source)</t>
  </si>
  <si>
    <t>Detail FY25-29</t>
  </si>
  <si>
    <t>Source: FY2026 Mid-Biennial Budget Update — Measure U1 Budget and Forecast, 5/22/2025 (Item 02 Supplemental). FY25 = Adopted; FY26 = Proposed; FY27-29 = Estimate. FY26 program spend ($11.0M non-personnel) far exceeds revenue — a planned fund-balance drawdown that funds the deficit backfill.</t>
  </si>
  <si>
    <t xml:space="preserve">   U1 transfer from General Fund (fixed)</t>
  </si>
  <si>
    <t xml:space="preserve">   Personnel costs (HHCS HTF + staffing study + Finance + Empty Homes Tax admin)</t>
  </si>
  <si>
    <t xml:space="preserve">      of which: Empty Homes Tax (Measure M) staffing &amp; admin</t>
  </si>
  <si>
    <t xml:space="preserve">      of which: HHCS Measure O/HTF + staffing study</t>
  </si>
  <si>
    <t xml:space="preserve">      of which: Finance — Rev. Development &amp; admin</t>
  </si>
  <si>
    <t xml:space="preserve">   California Street (Small Sites)</t>
  </si>
  <si>
    <t xml:space="preserve">   Small Sites allocations (excl. project commitments)</t>
  </si>
  <si>
    <t xml:space="preserve">   Housing Trust Fund Program (block)</t>
  </si>
  <si>
    <t xml:space="preserve">   MLK House</t>
  </si>
  <si>
    <t xml:space="preserve">   1740 San Pablo</t>
  </si>
  <si>
    <t xml:space="preserve">   Ephesians</t>
  </si>
  <si>
    <t xml:space="preserve">   Capacity Building for Emerging Developers</t>
  </si>
  <si>
    <t>Personnel + Program = Total Expenditures (per source)</t>
  </si>
  <si>
    <t>Notes, Confidence &amp; Sources</t>
  </si>
  <si>
    <t xml:space="preserve"> </t>
  </si>
  <si>
    <t>Scope &amp; structure</t>
  </si>
  <si>
    <t>Measure U1 (Nov 2016, ~74–75% yes) is a gross-receipts business-license tax on owners of 5+ residential rental units, raised from 1.081% to 2.88%. It is a general tax: revenue flows to the General Fund and is legally unrestricted. The HAC advises on use; its recommendations are advisory only. [High]</t>
  </si>
  <si>
    <t>A SEGREGATED U1 fund was not created until FY2021; at that point ~$10.0M of accumulated U1 balance was formally transferred in from the General Fund. Before FY21, U1 was commingled in the General Fund, so a clean line-item ledger does not exist for FY18 (and is partial for FY19–20, reconstructed in the FY23-24 doc). [High]</t>
  </si>
  <si>
    <t>FY2018: no segregated ledger. Revenue at budget adoption was projected at ~$1.5M (FY18) ramping to ~$3.0M (FY19); actuals came in materially higher (FY19 actual ≈ $5.83M), so the early adoption projections understated collections. FY18 line-item detail: Unknown / not separately tracked. [Low on FY18]</t>
  </si>
  <si>
    <t>Methodology change</t>
  </si>
  <si>
    <t>From FY2025 the city budgets U1 as a fixed ~$6.5M 'transfer from the General Fund' rather than booking actual tax receipts. This decouples the U1 budget from real-time collections and makes the fund a quasi-appropriation line rather than a pass-through of the tax. [High]</t>
  </si>
  <si>
    <t>The 'diversion' in plain terms</t>
  </si>
  <si>
    <t>There is no single raid. U1 has largely funded what it was pitched for — HTF development, Small Sites acquisition, eviction defense, shelter/ERF matches — but with steadily rising personnel/admin overhead baked in (incl. staffing for the unrelated Empty Homes Tax and a Finance revenue position), and, in FY26, an explicit ~$6.6M fund-balance drawdown to help close the structural deficit. The Small Sites cut is the visible edge of that drawdown. [High]</t>
  </si>
  <si>
    <t>Data-quality caveats</t>
  </si>
  <si>
    <t>(1) Cross-vintage seam: FY24 ending balance per the 2022 doc ($5.16M) ≠ FY25 beginning per the 2025 doc ($7.40M). Different forecast vintages; later actuals differ. Each block is internally consistent; the hand-off between them is approximate. (2) A handful of single-year program items in the FY19–24 source had ambiguous column alignment in extraction; placements reflect best reconciliation against fund totals, which tie out. Project-level year placement: Moderate. Annual fund-flow totals and the Personnel-vs-Program split: High (fully reconcile). (3) FY26 figures are the *proposed* column as of 5/22/2025 and may differ from the final adopted budget (the very item being contested at the 6/23/2026 vote).</t>
  </si>
  <si>
    <t>Sources</t>
  </si>
  <si>
    <t>• FY2026 Mid-Biennial Budget Update — Measure U1 Budget and Forecast, City of Berkeley, 5/22/2025 (Council Item 02 Supplemental). FY25–FY29.</t>
  </si>
  <si>
    <t xml:space="preserve">   https://berkeleyca.gov/.../2025-05-22 Item 02 Supplemental Material - FY2026 Mid-Biennial Budget Update (Measure U1 Forecast).pdf</t>
  </si>
  <si>
    <t>• Mayor's FY2023-24 Supplemental Budget Recommendations, City of Berkeley, 6/28/2022 (Council Item 44 Supp), 'Measure U1 Budget' table. FY19–FY24.</t>
  </si>
  <si>
    <t xml:space="preserve">   https://berkeleyca.gov/.../2022-06-28 Item 44 Supp Mayor.pdf</t>
  </si>
  <si>
    <t>• FY2018-19 &amp; FY2020-21 Adopted Biennial Budget Books (early-year U1 revenue projections); FY23-24 Proposed Budget (U1 ≈ $4.9M policy note).</t>
  </si>
  <si>
    <t>• Election margin: Berkeley City Clerk / Daily Cal results, Nov 2016 (U1 ≈ 74–75% yes).</t>
  </si>
  <si>
    <t>Compiled by BeTH — 2026-06-23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</si>
</sst>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1F2A44"/>
      <name val="Arial"/>
      <family val="2"/>
    </font>
    <font>
      <i/>
      <sz val="10"/>
      <color rgb="FF5B6B7B"/>
      <name val="Arial"/>
      <family val="2"/>
    </font>
    <font>
      <i/>
      <sz val="8.5"/>
      <color rgb="FF5B6B7B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F2A44"/>
      <name val="Arial"/>
      <family val="2"/>
    </font>
    <font>
      <b/>
      <sz val="10"/>
      <color rgb="FF000000"/>
      <name val="Arial"/>
      <family val="2"/>
    </font>
    <font>
      <i/>
      <sz val="9"/>
      <color rgb="FF5B6B7B"/>
      <name val="Arial"/>
      <family val="2"/>
    </font>
    <font>
      <b/>
      <sz val="9"/>
      <color rgb="FF3A5A78"/>
      <name val="Arial"/>
      <family val="2"/>
    </font>
    <font>
      <sz val="8.5"/>
      <color rgb="FF000000"/>
      <name val="Arial"/>
      <family val="2"/>
    </font>
    <font>
      <b/>
      <sz val="13"/>
      <color rgb="FF1F2A44"/>
      <name val="Arial"/>
      <family val="2"/>
    </font>
    <font>
      <b/>
      <sz val="9.5"/>
      <color rgb="FFFFFFFF"/>
      <name val="Arial"/>
      <family val="2"/>
    </font>
    <font>
      <b/>
      <sz val="9.5"/>
      <color rgb="FF3A5A78"/>
      <name val="Arial"/>
      <family val="2"/>
    </font>
    <font>
      <sz val="9.5"/>
      <color rgb="FF000000"/>
      <name val="Arial"/>
      <family val="2"/>
    </font>
    <font>
      <sz val="9.5"/>
      <color rgb="FF0000FF"/>
      <name val="Arial"/>
      <family val="2"/>
    </font>
    <font>
      <b/>
      <sz val="9.5"/>
      <color rgb="FF1F2A44"/>
      <name val="Arial"/>
      <family val="2"/>
    </font>
    <font>
      <b/>
      <sz val="9.5"/>
      <color rgb="FF000000"/>
      <name val="Arial"/>
      <family val="2"/>
    </font>
    <font>
      <b/>
      <sz val="14"/>
      <color rgb="FF1F2A44"/>
      <name val="Arial"/>
      <family val="2"/>
    </font>
    <font>
      <b/>
      <sz val="11"/>
      <color rgb="FF1F2A44"/>
      <name val="Arial"/>
      <family val="2"/>
    </font>
    <font>
      <sz val="9"/>
      <color rgb="FF3A5A78"/>
      <name val="Arial"/>
      <family val="2"/>
    </font>
    <font>
      <sz val="8.5"/>
      <color rgb="FF3A5A78"/>
      <name val="Arial"/>
      <family val="2"/>
    </font>
    <font>
      <sz val="8.5"/>
      <color rgb="FF5B6B7B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DF1F5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8794A0"/>
      </top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12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7" fillId="0" borderId="0" xfId="0" applyNumberFormat="1" applyFont="1"/>
    <xf numFmtId="164" fontId="0" fillId="0" borderId="0" xfId="0" applyNumberFormat="1"/>
    <xf numFmtId="0" fontId="8" fillId="3" borderId="1" xfId="0" applyFont="1" applyFill="1" applyBorder="1"/>
    <xf numFmtId="164" fontId="9" fillId="3" borderId="1" xfId="0" applyNumberFormat="1" applyFon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10" fillId="0" borderId="0" xfId="0" applyFont="1"/>
    <xf numFmtId="9" fontId="6" fillId="0" borderId="0" xfId="0" applyNumberFormat="1" applyFont="1"/>
    <xf numFmtId="0" fontId="11" fillId="0" borderId="0" xfId="0" applyFont="1"/>
    <xf numFmtId="0" fontId="13" fillId="0" borderId="0" xfId="0" applyFont="1"/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5" fillId="3" borderId="0" xfId="0" applyFont="1" applyFill="1"/>
    <xf numFmtId="0" fontId="0" fillId="3" borderId="0" xfId="0" applyFill="1"/>
    <xf numFmtId="0" fontId="16" fillId="0" borderId="0" xfId="0" applyFont="1"/>
    <xf numFmtId="164" fontId="17" fillId="0" borderId="0" xfId="0" applyNumberFormat="1" applyFont="1"/>
    <xf numFmtId="0" fontId="18" fillId="0" borderId="1" xfId="0" applyFont="1" applyBorder="1"/>
    <xf numFmtId="164" fontId="19" fillId="0" borderId="1" xfId="0" applyNumberFormat="1" applyFont="1" applyBorder="1"/>
    <xf numFmtId="0" fontId="20" fillId="0" borderId="0" xfId="0" applyFont="1"/>
    <xf numFmtId="0" fontId="21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9" fontId="25" fillId="0" borderId="0" xfId="0" applyNumberFormat="1" applyFont="1"/>
    <xf numFmtId="165" fontId="25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1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B"/>
      <rgbColor rgb="FF8794A0"/>
      <rgbColor rgb="FF003366"/>
      <rgbColor rgb="FF339966"/>
      <rgbColor rgb="FF003300"/>
      <rgbColor rgb="FF333300"/>
      <rgbColor rgb="FF993300"/>
      <rgbColor rgb="FF993366"/>
      <rgbColor rgb="FF3A5A78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5"/>
  <sheetViews>
    <sheetView showGridLines="0" tabSelected="1" zoomScale="150" zoomScaleNormal="150" workbookViewId="0">
      <selection activeCell="B20" sqref="B20:M20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13" width="11.5" customWidth="1"/>
  </cols>
  <sheetData>
    <row r="1" spans="2:13" ht="19" x14ac:dyDescent="0.2">
      <c r="B1" s="3" t="s">
        <v>0</v>
      </c>
    </row>
    <row r="2" spans="2:13" x14ac:dyDescent="0.2">
      <c r="B2" s="4" t="s">
        <v>1</v>
      </c>
    </row>
    <row r="3" spans="2:13" x14ac:dyDescent="0.2">
      <c r="B3" s="5" t="s">
        <v>2</v>
      </c>
    </row>
    <row r="5" spans="2:13" x14ac:dyDescent="0.2">
      <c r="B5" s="6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</row>
    <row r="6" spans="2:13" x14ac:dyDescent="0.2">
      <c r="B6" s="8" t="s">
        <v>15</v>
      </c>
      <c r="C6" s="9">
        <v>4161615</v>
      </c>
      <c r="D6" s="9">
        <v>8994778</v>
      </c>
      <c r="E6" s="9">
        <v>-1071</v>
      </c>
      <c r="F6" s="9">
        <v>11189667</v>
      </c>
      <c r="G6" s="9">
        <v>8220779</v>
      </c>
      <c r="H6" s="9">
        <v>3957172</v>
      </c>
      <c r="I6" s="9">
        <v>7399686</v>
      </c>
      <c r="J6" s="9">
        <v>7722569</v>
      </c>
      <c r="K6" s="9">
        <v>569285</v>
      </c>
      <c r="L6" s="9">
        <v>2003889</v>
      </c>
      <c r="M6" s="9">
        <v>3365224</v>
      </c>
    </row>
    <row r="7" spans="2:13" x14ac:dyDescent="0.2">
      <c r="B7" s="8" t="s">
        <v>16</v>
      </c>
      <c r="C7" s="9">
        <v>5828443</v>
      </c>
      <c r="D7" s="9">
        <v>5597359</v>
      </c>
      <c r="E7" s="9">
        <v>3845045</v>
      </c>
      <c r="F7" s="9">
        <v>5120350</v>
      </c>
      <c r="G7" s="9">
        <v>4900000</v>
      </c>
      <c r="H7" s="9">
        <v>4900000</v>
      </c>
      <c r="I7" s="9">
        <v>6500000</v>
      </c>
      <c r="J7" s="9">
        <v>6500000</v>
      </c>
      <c r="K7" s="9">
        <v>6500000</v>
      </c>
      <c r="L7" s="9">
        <v>6500000</v>
      </c>
      <c r="M7" s="9">
        <v>6500000</v>
      </c>
    </row>
    <row r="8" spans="2:13" x14ac:dyDescent="0.2">
      <c r="B8" s="8" t="s">
        <v>17</v>
      </c>
      <c r="C8" s="10"/>
      <c r="D8" s="10"/>
      <c r="E8" s="9">
        <v>10017583</v>
      </c>
      <c r="F8" s="10"/>
      <c r="G8" s="10"/>
      <c r="H8" s="10"/>
      <c r="I8" s="10"/>
      <c r="J8" s="10"/>
      <c r="K8" s="10"/>
      <c r="L8" s="10"/>
      <c r="M8" s="10"/>
    </row>
    <row r="9" spans="2:13" x14ac:dyDescent="0.2">
      <c r="B9" s="8" t="s">
        <v>18</v>
      </c>
      <c r="C9" s="10"/>
      <c r="D9" s="10"/>
      <c r="E9" s="10"/>
      <c r="F9" s="10"/>
      <c r="G9" s="10"/>
      <c r="H9" s="10"/>
      <c r="I9" s="10"/>
      <c r="J9" s="9">
        <v>-553329</v>
      </c>
      <c r="K9" s="10"/>
      <c r="L9" s="10"/>
      <c r="M9" s="10"/>
    </row>
    <row r="10" spans="2:13" x14ac:dyDescent="0.2">
      <c r="B10" s="11" t="s">
        <v>19</v>
      </c>
      <c r="C10" s="12">
        <f t="shared" ref="C10:M10" si="0">SUM(C6:C9)</f>
        <v>9990058</v>
      </c>
      <c r="D10" s="12">
        <f t="shared" si="0"/>
        <v>14592137</v>
      </c>
      <c r="E10" s="12">
        <f t="shared" si="0"/>
        <v>13861557</v>
      </c>
      <c r="F10" s="12">
        <f t="shared" si="0"/>
        <v>16310017</v>
      </c>
      <c r="G10" s="12">
        <f t="shared" si="0"/>
        <v>13120779</v>
      </c>
      <c r="H10" s="12">
        <f t="shared" si="0"/>
        <v>8857172</v>
      </c>
      <c r="I10" s="12">
        <f t="shared" si="0"/>
        <v>13899686</v>
      </c>
      <c r="J10" s="12">
        <f t="shared" si="0"/>
        <v>13669240</v>
      </c>
      <c r="K10" s="12">
        <f t="shared" si="0"/>
        <v>7069285</v>
      </c>
      <c r="L10" s="12">
        <f t="shared" si="0"/>
        <v>8503889</v>
      </c>
      <c r="M10" s="12">
        <f t="shared" si="0"/>
        <v>9865224</v>
      </c>
    </row>
    <row r="11" spans="2:13" x14ac:dyDescent="0.2">
      <c r="B11" s="8" t="s">
        <v>20</v>
      </c>
      <c r="C11" s="9">
        <v>345280</v>
      </c>
      <c r="D11" s="9">
        <v>210940</v>
      </c>
      <c r="E11" s="9">
        <v>244844</v>
      </c>
      <c r="F11" s="9">
        <v>375906</v>
      </c>
      <c r="G11" s="9">
        <v>913677</v>
      </c>
      <c r="H11" s="9">
        <v>946118</v>
      </c>
      <c r="I11" s="9">
        <v>1939337</v>
      </c>
      <c r="J11" s="9">
        <v>2062254</v>
      </c>
      <c r="K11" s="9">
        <v>1465396</v>
      </c>
      <c r="L11" s="9">
        <v>1538666</v>
      </c>
      <c r="M11" s="9">
        <v>1615599</v>
      </c>
    </row>
    <row r="12" spans="2:13" x14ac:dyDescent="0.2">
      <c r="B12" s="8" t="s">
        <v>21</v>
      </c>
      <c r="C12" s="9">
        <v>650000</v>
      </c>
      <c r="D12" s="9">
        <v>4363614</v>
      </c>
      <c r="E12" s="9">
        <v>2427045</v>
      </c>
      <c r="F12" s="9">
        <v>7713332</v>
      </c>
      <c r="G12" s="9">
        <v>8249930</v>
      </c>
      <c r="H12" s="9">
        <v>2750000</v>
      </c>
      <c r="I12" s="9">
        <v>4203331</v>
      </c>
      <c r="J12" s="9">
        <v>11037701</v>
      </c>
      <c r="K12" s="9">
        <v>3600000</v>
      </c>
      <c r="L12" s="9">
        <v>3600000</v>
      </c>
      <c r="M12" s="9">
        <v>3600000</v>
      </c>
    </row>
    <row r="13" spans="2:13" x14ac:dyDescent="0.2">
      <c r="B13" s="11" t="s">
        <v>22</v>
      </c>
      <c r="C13" s="12">
        <f t="shared" ref="C13:M13" si="1">C11+C12</f>
        <v>995280</v>
      </c>
      <c r="D13" s="12">
        <f t="shared" si="1"/>
        <v>4574554</v>
      </c>
      <c r="E13" s="12">
        <f t="shared" si="1"/>
        <v>2671889</v>
      </c>
      <c r="F13" s="12">
        <f t="shared" si="1"/>
        <v>8089238</v>
      </c>
      <c r="G13" s="12">
        <f t="shared" si="1"/>
        <v>9163607</v>
      </c>
      <c r="H13" s="12">
        <f t="shared" si="1"/>
        <v>3696118</v>
      </c>
      <c r="I13" s="12">
        <f t="shared" si="1"/>
        <v>6142668</v>
      </c>
      <c r="J13" s="12">
        <f t="shared" si="1"/>
        <v>13099955</v>
      </c>
      <c r="K13" s="12">
        <f t="shared" si="1"/>
        <v>5065396</v>
      </c>
      <c r="L13" s="12">
        <f t="shared" si="1"/>
        <v>5138666</v>
      </c>
      <c r="M13" s="12">
        <f t="shared" si="1"/>
        <v>5215599</v>
      </c>
    </row>
    <row r="14" spans="2:13" x14ac:dyDescent="0.2">
      <c r="B14" s="13" t="s">
        <v>23</v>
      </c>
      <c r="C14" s="14">
        <f t="shared" ref="C14:M14" si="2">C10-C13</f>
        <v>8994778</v>
      </c>
      <c r="D14" s="14">
        <f t="shared" si="2"/>
        <v>10017583</v>
      </c>
      <c r="E14" s="14">
        <f t="shared" si="2"/>
        <v>11189668</v>
      </c>
      <c r="F14" s="14">
        <f t="shared" si="2"/>
        <v>8220779</v>
      </c>
      <c r="G14" s="14">
        <f t="shared" si="2"/>
        <v>3957172</v>
      </c>
      <c r="H14" s="14">
        <f t="shared" si="2"/>
        <v>5161054</v>
      </c>
      <c r="I14" s="14">
        <f t="shared" si="2"/>
        <v>7757018</v>
      </c>
      <c r="J14" s="14">
        <f t="shared" si="2"/>
        <v>569285</v>
      </c>
      <c r="K14" s="14">
        <f t="shared" si="2"/>
        <v>2003889</v>
      </c>
      <c r="L14" s="14">
        <f t="shared" si="2"/>
        <v>3365223</v>
      </c>
      <c r="M14" s="14">
        <f t="shared" si="2"/>
        <v>4649625</v>
      </c>
    </row>
    <row r="15" spans="2:13" x14ac:dyDescent="0.2">
      <c r="B15" s="15" t="s">
        <v>24</v>
      </c>
      <c r="C15" s="16">
        <f t="shared" ref="C15:M15" si="3">IF(C13=0,0,C11/C13)</f>
        <v>0.34691745036572624</v>
      </c>
      <c r="D15" s="16">
        <f t="shared" si="3"/>
        <v>4.6111599076106652E-2</v>
      </c>
      <c r="E15" s="16">
        <f t="shared" si="3"/>
        <v>9.1637040311180598E-2</v>
      </c>
      <c r="F15" s="16">
        <f t="shared" si="3"/>
        <v>4.6469889994582923E-2</v>
      </c>
      <c r="G15" s="16">
        <f t="shared" si="3"/>
        <v>9.9707134974251946E-2</v>
      </c>
      <c r="H15" s="33">
        <f t="shared" si="3"/>
        <v>0.25597613496105914</v>
      </c>
      <c r="I15" s="33">
        <f t="shared" si="3"/>
        <v>0.31571574436384969</v>
      </c>
      <c r="J15" s="33">
        <f t="shared" si="3"/>
        <v>0.15742451023686724</v>
      </c>
      <c r="K15" s="33">
        <f t="shared" si="3"/>
        <v>0.28929544698973192</v>
      </c>
      <c r="L15" s="33">
        <f t="shared" si="3"/>
        <v>0.29942907361560372</v>
      </c>
      <c r="M15" s="33">
        <f t="shared" si="3"/>
        <v>0.30976288629551468</v>
      </c>
    </row>
    <row r="17" spans="2:13" x14ac:dyDescent="0.2">
      <c r="B17" s="17" t="s">
        <v>25</v>
      </c>
    </row>
    <row r="18" spans="2:13" x14ac:dyDescent="0.2"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2"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2">
      <c r="B20" s="2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2">
      <c r="B21" s="2" t="s">
        <v>29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2">
      <c r="B22" s="2" t="s">
        <v>30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2">
      <c r="B23" s="2" t="s">
        <v>31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">
      <c r="B24" s="2" t="s">
        <v>32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2">
      <c r="B25" s="2" t="s">
        <v>33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</sheetData>
  <mergeCells count="8">
    <mergeCell ref="B23:M23"/>
    <mergeCell ref="B24:M24"/>
    <mergeCell ref="B25:M25"/>
    <mergeCell ref="B18:M18"/>
    <mergeCell ref="B19:M19"/>
    <mergeCell ref="B20:M20"/>
    <mergeCell ref="B21:M21"/>
    <mergeCell ref="B22:M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6"/>
  <sheetViews>
    <sheetView showGridLines="0" topLeftCell="A2" zoomScale="130" zoomScaleNormal="130" workbookViewId="0">
      <selection activeCell="E34" sqref="E34:G34"/>
    </sheetView>
  </sheetViews>
  <sheetFormatPr baseColWidth="10" defaultColWidth="8.6640625" defaultRowHeight="15" x14ac:dyDescent="0.2"/>
  <cols>
    <col min="1" max="1" width="3" customWidth="1"/>
    <col min="2" max="2" width="52" customWidth="1"/>
    <col min="3" max="8" width="12" customWidth="1"/>
  </cols>
  <sheetData>
    <row r="1" spans="2:8" ht="17" x14ac:dyDescent="0.2">
      <c r="B1" s="18" t="s">
        <v>34</v>
      </c>
    </row>
    <row r="2" spans="2:8" x14ac:dyDescent="0.2">
      <c r="B2" s="1" t="s">
        <v>35</v>
      </c>
      <c r="C2" s="1"/>
      <c r="D2" s="1"/>
      <c r="E2" s="1"/>
      <c r="F2" s="1"/>
      <c r="G2" s="1"/>
      <c r="H2" s="1"/>
    </row>
    <row r="4" spans="2:8" x14ac:dyDescent="0.2">
      <c r="B4" s="19" t="s">
        <v>36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</row>
    <row r="5" spans="2:8" x14ac:dyDescent="0.2">
      <c r="B5" s="21" t="s">
        <v>37</v>
      </c>
      <c r="C5" s="22"/>
      <c r="D5" s="22"/>
      <c r="E5" s="22"/>
      <c r="F5" s="22"/>
      <c r="G5" s="22"/>
      <c r="H5" s="22"/>
    </row>
    <row r="6" spans="2:8" x14ac:dyDescent="0.2">
      <c r="B6" s="23" t="s">
        <v>38</v>
      </c>
      <c r="C6" s="24">
        <v>5828443</v>
      </c>
      <c r="D6" s="24">
        <v>5597359</v>
      </c>
      <c r="E6" s="24">
        <v>3845045</v>
      </c>
      <c r="F6" s="24">
        <v>5120350</v>
      </c>
      <c r="G6" s="24">
        <v>4900000</v>
      </c>
      <c r="H6" s="24">
        <v>4900000</v>
      </c>
    </row>
    <row r="7" spans="2:8" x14ac:dyDescent="0.2">
      <c r="B7" s="23" t="s">
        <v>39</v>
      </c>
      <c r="C7" s="10"/>
      <c r="D7" s="10"/>
      <c r="E7" s="24">
        <v>10017583</v>
      </c>
      <c r="F7" s="10"/>
      <c r="G7" s="10"/>
      <c r="H7" s="10"/>
    </row>
    <row r="8" spans="2:8" x14ac:dyDescent="0.2">
      <c r="B8" s="21" t="s">
        <v>40</v>
      </c>
      <c r="C8" s="22"/>
      <c r="D8" s="22"/>
      <c r="E8" s="22"/>
      <c r="F8" s="22"/>
      <c r="G8" s="22"/>
      <c r="H8" s="22"/>
    </row>
    <row r="9" spans="2:8" x14ac:dyDescent="0.2">
      <c r="B9" s="23" t="s">
        <v>41</v>
      </c>
      <c r="C9" s="24">
        <v>345280</v>
      </c>
      <c r="D9" s="24">
        <v>129625</v>
      </c>
      <c r="E9" s="24">
        <v>83327</v>
      </c>
      <c r="F9" s="24">
        <v>186199</v>
      </c>
      <c r="G9" s="24">
        <v>403212</v>
      </c>
      <c r="H9" s="24">
        <v>415532</v>
      </c>
    </row>
    <row r="10" spans="2:8" x14ac:dyDescent="0.2">
      <c r="B10" s="23" t="s">
        <v>42</v>
      </c>
      <c r="C10" s="10"/>
      <c r="D10" s="24">
        <v>81315</v>
      </c>
      <c r="E10" s="24">
        <v>161518</v>
      </c>
      <c r="F10" s="24">
        <v>189707</v>
      </c>
      <c r="G10" s="24">
        <v>510465</v>
      </c>
      <c r="H10" s="24">
        <v>530586</v>
      </c>
    </row>
    <row r="11" spans="2:8" x14ac:dyDescent="0.2">
      <c r="B11" s="25" t="s">
        <v>43</v>
      </c>
      <c r="C11" s="26">
        <v>345280</v>
      </c>
      <c r="D11" s="26">
        <v>210940</v>
      </c>
      <c r="E11" s="26">
        <v>244844</v>
      </c>
      <c r="F11" s="26">
        <v>375906</v>
      </c>
      <c r="G11" s="26">
        <v>913677</v>
      </c>
      <c r="H11" s="26">
        <v>946118</v>
      </c>
    </row>
    <row r="12" spans="2:8" x14ac:dyDescent="0.2">
      <c r="B12" s="21" t="s">
        <v>44</v>
      </c>
      <c r="C12" s="22"/>
      <c r="D12" s="22"/>
      <c r="E12" s="22"/>
      <c r="F12" s="22"/>
      <c r="G12" s="22"/>
      <c r="H12" s="22"/>
    </row>
    <row r="13" spans="2:8" x14ac:dyDescent="0.2">
      <c r="B13" s="23" t="s">
        <v>45</v>
      </c>
      <c r="C13" s="10"/>
      <c r="D13" s="24">
        <v>230122</v>
      </c>
      <c r="E13" s="24">
        <v>231732</v>
      </c>
      <c r="F13" s="24">
        <v>420767</v>
      </c>
      <c r="G13" s="10"/>
      <c r="H13" s="10"/>
    </row>
    <row r="14" spans="2:8" x14ac:dyDescent="0.2">
      <c r="B14" s="23" t="s">
        <v>46</v>
      </c>
      <c r="C14" s="10"/>
      <c r="D14" s="10"/>
      <c r="E14" s="24">
        <v>44075</v>
      </c>
      <c r="F14" s="24">
        <v>861565</v>
      </c>
      <c r="G14" s="10"/>
      <c r="H14" s="10"/>
    </row>
    <row r="15" spans="2:8" x14ac:dyDescent="0.2">
      <c r="B15" s="23" t="s">
        <v>47</v>
      </c>
      <c r="C15" s="10"/>
      <c r="D15" s="24">
        <v>196402</v>
      </c>
      <c r="E15" s="10"/>
      <c r="F15" s="10"/>
      <c r="G15" s="10"/>
      <c r="H15" s="10"/>
    </row>
    <row r="16" spans="2:8" x14ac:dyDescent="0.2">
      <c r="B16" s="21" t="s">
        <v>48</v>
      </c>
      <c r="C16" s="22"/>
      <c r="D16" s="22"/>
      <c r="E16" s="22"/>
      <c r="F16" s="22"/>
      <c r="G16" s="22"/>
      <c r="H16" s="22"/>
    </row>
    <row r="17" spans="2:8" x14ac:dyDescent="0.2">
      <c r="B17" s="23" t="s">
        <v>49</v>
      </c>
      <c r="C17" s="10"/>
      <c r="D17" s="24">
        <v>1187329</v>
      </c>
      <c r="E17" s="24">
        <v>269655</v>
      </c>
      <c r="F17" s="10"/>
      <c r="G17" s="10"/>
      <c r="H17" s="10"/>
    </row>
    <row r="18" spans="2:8" x14ac:dyDescent="0.2">
      <c r="B18" s="23" t="s">
        <v>50</v>
      </c>
      <c r="C18" s="10"/>
      <c r="D18" s="10"/>
      <c r="E18" s="10"/>
      <c r="F18" s="24">
        <v>500000</v>
      </c>
      <c r="G18" s="10"/>
      <c r="H18" s="10"/>
    </row>
    <row r="19" spans="2:8" x14ac:dyDescent="0.2">
      <c r="B19" s="23" t="s">
        <v>51</v>
      </c>
      <c r="C19" s="10"/>
      <c r="D19" s="10"/>
      <c r="E19" s="10"/>
      <c r="F19" s="24">
        <v>3000000</v>
      </c>
      <c r="G19" s="24">
        <v>3023365</v>
      </c>
      <c r="H19" s="10"/>
    </row>
    <row r="20" spans="2:8" x14ac:dyDescent="0.2">
      <c r="B20" s="23" t="s">
        <v>52</v>
      </c>
      <c r="C20" s="10"/>
      <c r="D20" s="10"/>
      <c r="E20" s="10"/>
      <c r="F20" s="10"/>
      <c r="G20" s="24">
        <v>2500000</v>
      </c>
      <c r="H20" s="24">
        <v>2500000</v>
      </c>
    </row>
    <row r="21" spans="2:8" x14ac:dyDescent="0.2">
      <c r="B21" s="21" t="s">
        <v>53</v>
      </c>
      <c r="C21" s="22"/>
      <c r="D21" s="22"/>
      <c r="E21" s="22"/>
      <c r="F21" s="22"/>
      <c r="G21" s="22"/>
      <c r="H21" s="22"/>
    </row>
    <row r="22" spans="2:8" x14ac:dyDescent="0.2">
      <c r="B22" s="23" t="s">
        <v>54</v>
      </c>
      <c r="C22" s="10"/>
      <c r="D22" s="24">
        <v>100000</v>
      </c>
      <c r="E22" s="24">
        <v>200000</v>
      </c>
      <c r="F22" s="24">
        <v>200000</v>
      </c>
      <c r="G22" s="24">
        <v>200000</v>
      </c>
      <c r="H22" s="24">
        <v>100000</v>
      </c>
    </row>
    <row r="23" spans="2:8" x14ac:dyDescent="0.2">
      <c r="B23" s="23" t="s">
        <v>55</v>
      </c>
      <c r="C23" s="10"/>
      <c r="D23" s="10"/>
      <c r="E23" s="24">
        <v>150000</v>
      </c>
      <c r="F23" s="10"/>
      <c r="G23" s="10"/>
      <c r="H23" s="10"/>
    </row>
    <row r="24" spans="2:8" x14ac:dyDescent="0.2">
      <c r="B24" s="23" t="s">
        <v>56</v>
      </c>
      <c r="C24" s="10"/>
      <c r="D24" s="10"/>
      <c r="E24" s="10"/>
      <c r="F24" s="24">
        <v>150000</v>
      </c>
      <c r="G24" s="24">
        <v>150000</v>
      </c>
      <c r="H24" s="24">
        <v>150000</v>
      </c>
    </row>
    <row r="25" spans="2:8" x14ac:dyDescent="0.2">
      <c r="B25" s="23" t="s">
        <v>57</v>
      </c>
      <c r="C25" s="10"/>
      <c r="D25" s="10"/>
      <c r="E25" s="10"/>
      <c r="F25" s="10"/>
      <c r="G25" s="24">
        <v>300000</v>
      </c>
      <c r="H25" s="10"/>
    </row>
    <row r="26" spans="2:8" x14ac:dyDescent="0.2">
      <c r="B26" s="21" t="s">
        <v>58</v>
      </c>
      <c r="C26" s="22"/>
      <c r="D26" s="22"/>
      <c r="E26" s="22"/>
      <c r="F26" s="22"/>
      <c r="G26" s="22"/>
      <c r="H26" s="22"/>
    </row>
    <row r="27" spans="2:8" x14ac:dyDescent="0.2">
      <c r="B27" s="23" t="s">
        <v>59</v>
      </c>
      <c r="C27" s="10"/>
      <c r="D27" s="24">
        <v>300000</v>
      </c>
      <c r="E27" s="24">
        <v>460420</v>
      </c>
      <c r="F27" s="24">
        <v>550000</v>
      </c>
      <c r="G27" s="10"/>
      <c r="H27" s="10"/>
    </row>
    <row r="28" spans="2:8" x14ac:dyDescent="0.2">
      <c r="B28" s="23" t="s">
        <v>60</v>
      </c>
      <c r="C28" s="10"/>
      <c r="D28" s="24">
        <v>250000</v>
      </c>
      <c r="E28" s="24">
        <v>275000</v>
      </c>
      <c r="F28" s="24">
        <v>250000</v>
      </c>
      <c r="G28" s="10"/>
      <c r="H28" s="10"/>
    </row>
    <row r="29" spans="2:8" x14ac:dyDescent="0.2">
      <c r="B29" s="23" t="s">
        <v>61</v>
      </c>
      <c r="C29" s="10"/>
      <c r="D29" s="24">
        <v>250000</v>
      </c>
      <c r="E29" s="24">
        <v>125000</v>
      </c>
      <c r="F29" s="10"/>
      <c r="G29" s="10"/>
      <c r="H29" s="10"/>
    </row>
    <row r="30" spans="2:8" x14ac:dyDescent="0.2">
      <c r="B30" s="23" t="s">
        <v>62</v>
      </c>
      <c r="C30" s="10"/>
      <c r="D30" s="10"/>
      <c r="E30" s="24">
        <v>275000</v>
      </c>
      <c r="F30" s="10"/>
      <c r="G30" s="10"/>
      <c r="H30" s="10"/>
    </row>
    <row r="31" spans="2:8" x14ac:dyDescent="0.2">
      <c r="B31" s="23" t="s">
        <v>63</v>
      </c>
      <c r="C31" s="10"/>
      <c r="D31" s="24">
        <v>100000</v>
      </c>
      <c r="E31" s="24">
        <v>100000</v>
      </c>
      <c r="F31" s="24">
        <v>100000</v>
      </c>
      <c r="G31" s="10"/>
      <c r="H31" s="10"/>
    </row>
    <row r="32" spans="2:8" x14ac:dyDescent="0.2">
      <c r="B32" s="21" t="s">
        <v>64</v>
      </c>
      <c r="C32" s="22"/>
      <c r="D32" s="22"/>
      <c r="E32" s="22"/>
      <c r="F32" s="22"/>
      <c r="G32" s="22"/>
      <c r="H32" s="22"/>
    </row>
    <row r="33" spans="2:8" x14ac:dyDescent="0.2">
      <c r="B33" s="23" t="s">
        <v>65</v>
      </c>
      <c r="C33" s="10"/>
      <c r="D33" s="24">
        <v>1000000</v>
      </c>
      <c r="E33" s="10"/>
      <c r="F33" s="10"/>
      <c r="G33" s="10"/>
      <c r="H33" s="10"/>
    </row>
    <row r="34" spans="2:8" x14ac:dyDescent="0.2">
      <c r="B34" s="23" t="s">
        <v>66</v>
      </c>
      <c r="C34" s="10"/>
      <c r="D34" s="10"/>
      <c r="E34" s="24">
        <v>946163</v>
      </c>
      <c r="F34" s="24">
        <v>946163</v>
      </c>
      <c r="G34" s="24">
        <v>946163</v>
      </c>
      <c r="H34" s="10"/>
    </row>
    <row r="35" spans="2:8" x14ac:dyDescent="0.2">
      <c r="B35" s="23" t="s">
        <v>67</v>
      </c>
      <c r="C35" s="10"/>
      <c r="D35" s="10"/>
      <c r="E35" s="10"/>
      <c r="F35" s="24">
        <v>100000</v>
      </c>
      <c r="G35" s="10"/>
      <c r="H35" s="10"/>
    </row>
    <row r="36" spans="2:8" x14ac:dyDescent="0.2">
      <c r="B36" s="25" t="s">
        <v>68</v>
      </c>
      <c r="C36" s="26">
        <v>995280</v>
      </c>
      <c r="D36" s="26">
        <v>4574554</v>
      </c>
      <c r="E36" s="26">
        <v>2671890</v>
      </c>
      <c r="F36" s="26">
        <v>8089238</v>
      </c>
      <c r="G36" s="26">
        <v>9163607</v>
      </c>
      <c r="H36" s="26">
        <v>3696118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8"/>
  <sheetViews>
    <sheetView showGridLines="0" zoomScale="170" zoomScaleNormal="170" workbookViewId="0">
      <selection activeCell="C9" sqref="C9:G9"/>
    </sheetView>
  </sheetViews>
  <sheetFormatPr baseColWidth="10" defaultColWidth="8.6640625" defaultRowHeight="15" x14ac:dyDescent="0.2"/>
  <cols>
    <col min="1" max="1" width="3" customWidth="1"/>
    <col min="2" max="2" width="52" customWidth="1"/>
    <col min="3" max="7" width="12" customWidth="1"/>
  </cols>
  <sheetData>
    <row r="1" spans="2:7" ht="17" x14ac:dyDescent="0.2">
      <c r="B1" s="18" t="s">
        <v>69</v>
      </c>
    </row>
    <row r="2" spans="2:7" x14ac:dyDescent="0.2">
      <c r="B2" s="1" t="s">
        <v>70</v>
      </c>
      <c r="C2" s="1"/>
      <c r="D2" s="1"/>
      <c r="E2" s="1"/>
      <c r="F2" s="1"/>
      <c r="G2" s="1"/>
    </row>
    <row r="4" spans="2:7" x14ac:dyDescent="0.2">
      <c r="B4" s="19" t="s">
        <v>36</v>
      </c>
      <c r="C4" s="20" t="s">
        <v>10</v>
      </c>
      <c r="D4" s="20" t="s">
        <v>11</v>
      </c>
      <c r="E4" s="20" t="s">
        <v>12</v>
      </c>
      <c r="F4" s="20" t="s">
        <v>13</v>
      </c>
      <c r="G4" s="20" t="s">
        <v>14</v>
      </c>
    </row>
    <row r="5" spans="2:7" x14ac:dyDescent="0.2">
      <c r="B5" s="21" t="s">
        <v>37</v>
      </c>
      <c r="C5" s="22"/>
      <c r="D5" s="22"/>
      <c r="E5" s="22"/>
      <c r="F5" s="22"/>
      <c r="G5" s="22"/>
    </row>
    <row r="6" spans="2:7" x14ac:dyDescent="0.2">
      <c r="B6" s="23" t="s">
        <v>71</v>
      </c>
      <c r="C6" s="24">
        <v>6500000</v>
      </c>
      <c r="D6" s="24">
        <v>6500000</v>
      </c>
      <c r="E6" s="24">
        <v>6500000</v>
      </c>
      <c r="F6" s="24">
        <v>6500000</v>
      </c>
      <c r="G6" s="24">
        <v>6500000</v>
      </c>
    </row>
    <row r="7" spans="2:7" x14ac:dyDescent="0.2">
      <c r="B7" s="21" t="s">
        <v>40</v>
      </c>
      <c r="C7" s="22"/>
      <c r="D7" s="22"/>
      <c r="E7" s="22"/>
      <c r="F7" s="22"/>
      <c r="G7" s="22"/>
    </row>
    <row r="8" spans="2:7" x14ac:dyDescent="0.2">
      <c r="B8" s="23" t="s">
        <v>72</v>
      </c>
      <c r="C8" s="24">
        <v>1939337</v>
      </c>
      <c r="D8" s="24">
        <v>2062254</v>
      </c>
      <c r="E8" s="24">
        <v>1465396</v>
      </c>
      <c r="F8" s="24">
        <v>1538666</v>
      </c>
      <c r="G8" s="24">
        <v>1615599</v>
      </c>
    </row>
    <row r="9" spans="2:7" x14ac:dyDescent="0.2">
      <c r="B9" s="23"/>
      <c r="C9" s="34">
        <f>C8/C6</f>
        <v>0.29835953846153845</v>
      </c>
      <c r="D9" s="34">
        <f t="shared" ref="D9:G9" si="0">D8/D6</f>
        <v>0.31726984615384618</v>
      </c>
      <c r="E9" s="34">
        <f t="shared" si="0"/>
        <v>0.22544553846153847</v>
      </c>
      <c r="F9" s="34">
        <f t="shared" si="0"/>
        <v>0.23671784615384617</v>
      </c>
      <c r="G9" s="34">
        <f t="shared" si="0"/>
        <v>0.24855369230769231</v>
      </c>
    </row>
    <row r="10" spans="2:7" x14ac:dyDescent="0.2">
      <c r="B10" s="23" t="s">
        <v>73</v>
      </c>
      <c r="C10" s="24">
        <v>372000</v>
      </c>
      <c r="D10" s="24">
        <v>624975</v>
      </c>
      <c r="E10" s="10"/>
      <c r="F10" s="10"/>
      <c r="G10" s="10"/>
    </row>
    <row r="11" spans="2:7" x14ac:dyDescent="0.2">
      <c r="B11" s="23" t="s">
        <v>74</v>
      </c>
      <c r="C11" s="24">
        <v>1149985</v>
      </c>
      <c r="D11" s="24">
        <v>1646009</v>
      </c>
      <c r="E11" s="24">
        <v>1252830</v>
      </c>
      <c r="F11" s="24">
        <v>1292782</v>
      </c>
      <c r="G11" s="24">
        <v>1357421</v>
      </c>
    </row>
    <row r="12" spans="2:7" x14ac:dyDescent="0.2">
      <c r="B12" s="23" t="s">
        <v>75</v>
      </c>
      <c r="C12" s="24">
        <v>417352</v>
      </c>
      <c r="D12" s="24">
        <v>436825</v>
      </c>
      <c r="E12" s="24">
        <v>234174</v>
      </c>
      <c r="F12" s="24">
        <v>245883</v>
      </c>
      <c r="G12" s="24">
        <v>258177</v>
      </c>
    </row>
    <row r="13" spans="2:7" x14ac:dyDescent="0.2">
      <c r="B13" s="21" t="s">
        <v>44</v>
      </c>
      <c r="C13" s="22"/>
      <c r="D13" s="22"/>
      <c r="E13" s="22"/>
      <c r="F13" s="22"/>
      <c r="G13" s="22"/>
    </row>
    <row r="14" spans="2:7" x14ac:dyDescent="0.2">
      <c r="B14" s="23" t="s">
        <v>76</v>
      </c>
      <c r="C14" s="24">
        <v>3103331</v>
      </c>
      <c r="D14" s="10"/>
      <c r="E14" s="10"/>
      <c r="F14" s="10"/>
      <c r="G14" s="10"/>
    </row>
    <row r="15" spans="2:7" x14ac:dyDescent="0.2">
      <c r="B15" s="23" t="s">
        <v>46</v>
      </c>
      <c r="C15" s="24">
        <v>562174</v>
      </c>
      <c r="D15" s="10"/>
      <c r="E15" s="10"/>
      <c r="F15" s="10"/>
      <c r="G15" s="10"/>
    </row>
    <row r="16" spans="2:7" x14ac:dyDescent="0.2">
      <c r="B16" s="23" t="s">
        <v>77</v>
      </c>
      <c r="C16" s="10"/>
      <c r="D16" s="24">
        <v>2500000</v>
      </c>
      <c r="E16" s="10"/>
      <c r="F16" s="10"/>
      <c r="G16" s="10"/>
    </row>
    <row r="17" spans="2:7" x14ac:dyDescent="0.2">
      <c r="B17" s="21" t="s">
        <v>48</v>
      </c>
      <c r="C17" s="22"/>
      <c r="D17" s="22"/>
      <c r="E17" s="22"/>
      <c r="F17" s="22"/>
      <c r="G17" s="22"/>
    </row>
    <row r="18" spans="2:7" x14ac:dyDescent="0.2">
      <c r="B18" s="23" t="s">
        <v>78</v>
      </c>
      <c r="C18" s="24">
        <v>2500000</v>
      </c>
      <c r="D18" s="10"/>
      <c r="E18" s="10"/>
      <c r="F18" s="10"/>
      <c r="G18" s="10"/>
    </row>
    <row r="19" spans="2:7" x14ac:dyDescent="0.2">
      <c r="B19" s="23" t="s">
        <v>79</v>
      </c>
      <c r="C19" s="24">
        <v>121142</v>
      </c>
      <c r="D19" s="24">
        <v>1879846</v>
      </c>
      <c r="E19" s="10"/>
      <c r="F19" s="10"/>
      <c r="G19" s="10"/>
    </row>
    <row r="20" spans="2:7" x14ac:dyDescent="0.2">
      <c r="B20" s="23" t="s">
        <v>80</v>
      </c>
      <c r="C20" s="10"/>
      <c r="D20" s="24">
        <v>4496669</v>
      </c>
      <c r="E20" s="10"/>
      <c r="F20" s="10"/>
      <c r="G20" s="10"/>
    </row>
    <row r="21" spans="2:7" x14ac:dyDescent="0.2">
      <c r="B21" s="23" t="s">
        <v>81</v>
      </c>
      <c r="C21" s="10"/>
      <c r="D21" s="24">
        <v>499012</v>
      </c>
      <c r="E21" s="10"/>
      <c r="F21" s="10"/>
      <c r="G21" s="10"/>
    </row>
    <row r="22" spans="2:7" x14ac:dyDescent="0.2">
      <c r="B22" s="21" t="s">
        <v>53</v>
      </c>
      <c r="C22" s="22"/>
      <c r="D22" s="22"/>
      <c r="E22" s="22"/>
      <c r="F22" s="22"/>
      <c r="G22" s="22"/>
    </row>
    <row r="23" spans="2:7" x14ac:dyDescent="0.2">
      <c r="B23" s="23" t="s">
        <v>82</v>
      </c>
      <c r="C23" s="24">
        <v>200000</v>
      </c>
      <c r="D23" s="24">
        <v>200000</v>
      </c>
      <c r="E23" s="24">
        <v>200000</v>
      </c>
      <c r="F23" s="24">
        <v>200000</v>
      </c>
      <c r="G23" s="24">
        <v>200000</v>
      </c>
    </row>
    <row r="24" spans="2:7" x14ac:dyDescent="0.2">
      <c r="B24" s="21" t="s">
        <v>58</v>
      </c>
      <c r="C24" s="22"/>
      <c r="D24" s="22"/>
      <c r="E24" s="22"/>
      <c r="F24" s="22"/>
      <c r="G24" s="22"/>
    </row>
    <row r="25" spans="2:7" x14ac:dyDescent="0.2">
      <c r="B25" s="23" t="s">
        <v>59</v>
      </c>
      <c r="C25" s="24">
        <v>550000</v>
      </c>
      <c r="D25" s="24">
        <v>550000</v>
      </c>
      <c r="E25" s="24">
        <v>550000</v>
      </c>
      <c r="F25" s="24">
        <v>550000</v>
      </c>
      <c r="G25" s="24">
        <v>550000</v>
      </c>
    </row>
    <row r="26" spans="2:7" x14ac:dyDescent="0.2">
      <c r="B26" s="23" t="s">
        <v>62</v>
      </c>
      <c r="C26" s="24">
        <v>250000</v>
      </c>
      <c r="D26" s="24">
        <v>250000</v>
      </c>
      <c r="E26" s="24">
        <v>250000</v>
      </c>
      <c r="F26" s="24">
        <v>250000</v>
      </c>
      <c r="G26" s="24">
        <v>250000</v>
      </c>
    </row>
    <row r="27" spans="2:7" x14ac:dyDescent="0.2">
      <c r="B27" s="23" t="s">
        <v>63</v>
      </c>
      <c r="C27" s="24">
        <v>100000</v>
      </c>
      <c r="D27" s="24">
        <v>100000</v>
      </c>
      <c r="E27" s="24">
        <v>100000</v>
      </c>
      <c r="F27" s="24">
        <v>100000</v>
      </c>
      <c r="G27" s="24">
        <v>100000</v>
      </c>
    </row>
    <row r="28" spans="2:7" x14ac:dyDescent="0.2">
      <c r="B28" s="25" t="s">
        <v>83</v>
      </c>
      <c r="C28" s="26">
        <v>6142668</v>
      </c>
      <c r="D28" s="26">
        <v>13099955</v>
      </c>
      <c r="E28" s="26">
        <v>5065396</v>
      </c>
      <c r="F28" s="26">
        <v>5138666</v>
      </c>
      <c r="G28" s="26">
        <v>5215599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20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10" customWidth="1"/>
  </cols>
  <sheetData>
    <row r="1" spans="2:2" ht="18" x14ac:dyDescent="0.2">
      <c r="B1" s="27" t="s">
        <v>84</v>
      </c>
    </row>
    <row r="2" spans="2:2" x14ac:dyDescent="0.2">
      <c r="B2" t="s">
        <v>85</v>
      </c>
    </row>
    <row r="3" spans="2:2" x14ac:dyDescent="0.2">
      <c r="B3" s="28" t="s">
        <v>86</v>
      </c>
    </row>
    <row r="4" spans="2:2" ht="42" x14ac:dyDescent="0.2">
      <c r="B4" s="29" t="s">
        <v>87</v>
      </c>
    </row>
    <row r="5" spans="2:2" ht="42" x14ac:dyDescent="0.2">
      <c r="B5" s="29" t="s">
        <v>88</v>
      </c>
    </row>
    <row r="6" spans="2:2" ht="42" x14ac:dyDescent="0.2">
      <c r="B6" s="29" t="s">
        <v>89</v>
      </c>
    </row>
    <row r="7" spans="2:2" x14ac:dyDescent="0.2">
      <c r="B7" s="28" t="s">
        <v>90</v>
      </c>
    </row>
    <row r="8" spans="2:2" ht="42" x14ac:dyDescent="0.2">
      <c r="B8" s="29" t="s">
        <v>91</v>
      </c>
    </row>
    <row r="9" spans="2:2" x14ac:dyDescent="0.2">
      <c r="B9" s="28" t="s">
        <v>92</v>
      </c>
    </row>
    <row r="10" spans="2:2" ht="56" x14ac:dyDescent="0.2">
      <c r="B10" s="29" t="s">
        <v>93</v>
      </c>
    </row>
    <row r="11" spans="2:2" x14ac:dyDescent="0.2">
      <c r="B11" s="28" t="s">
        <v>94</v>
      </c>
    </row>
    <row r="12" spans="2:2" ht="84" x14ac:dyDescent="0.2">
      <c r="B12" s="29" t="s">
        <v>95</v>
      </c>
    </row>
    <row r="13" spans="2:2" x14ac:dyDescent="0.2">
      <c r="B13" s="28" t="s">
        <v>96</v>
      </c>
    </row>
    <row r="14" spans="2:2" x14ac:dyDescent="0.2">
      <c r="B14" s="30" t="s">
        <v>97</v>
      </c>
    </row>
    <row r="15" spans="2:2" x14ac:dyDescent="0.2">
      <c r="B15" s="31" t="s">
        <v>98</v>
      </c>
    </row>
    <row r="16" spans="2:2" x14ac:dyDescent="0.2">
      <c r="B16" s="30" t="s">
        <v>99</v>
      </c>
    </row>
    <row r="17" spans="2:2" x14ac:dyDescent="0.2">
      <c r="B17" s="31" t="s">
        <v>100</v>
      </c>
    </row>
    <row r="18" spans="2:2" x14ac:dyDescent="0.2">
      <c r="B18" s="30" t="s">
        <v>101</v>
      </c>
    </row>
    <row r="19" spans="2:2" x14ac:dyDescent="0.2">
      <c r="B19" s="30" t="s">
        <v>102</v>
      </c>
    </row>
    <row r="20" spans="2:2" x14ac:dyDescent="0.2">
      <c r="B20" s="32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 FY19-24</vt:lpstr>
      <vt:lpstr>Detail FY25-29</vt:lpstr>
      <vt:lpstr>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Steve Kromer</cp:lastModifiedBy>
  <cp:revision>0</cp:revision>
  <dcterms:created xsi:type="dcterms:W3CDTF">2026-06-23T04:01:38Z</dcterms:created>
  <dcterms:modified xsi:type="dcterms:W3CDTF">2026-06-23T16:35:27Z</dcterms:modified>
  <dc:language>en-US</dc:language>
</cp:coreProperties>
</file>