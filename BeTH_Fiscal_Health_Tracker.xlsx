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stephenkromer/Documents/GitHub/BeTH /"/>
    </mc:Choice>
  </mc:AlternateContent>
  <xr:revisionPtr revIDLastSave="0" documentId="8_{AED011E1-5810-884F-A246-D6C1F8509295}" xr6:coauthVersionLast="47" xr6:coauthVersionMax="47" xr10:uidLastSave="{00000000-0000-0000-0000-000000000000}"/>
  <bookViews>
    <workbookView xWindow="2180" yWindow="1440" windowWidth="33160" windowHeight="19480" tabRatio="500" activeTab="1" xr2:uid="{00000000-000D-0000-FFFF-FFFF00000000}"/>
  </bookViews>
  <sheets>
    <sheet name="Dashboard" sheetId="1" r:id="rId1"/>
    <sheet name="Revenue &amp; Expenses" sheetId="2" r:id="rId2"/>
    <sheet name="Personnel Costs" sheetId="3" r:id="rId3"/>
    <sheet name="Demographics" sheetId="4" r:id="rId4"/>
    <sheet name="Financial Position" sheetId="5" r:id="rId5"/>
    <sheet name="Debt &amp; Bonds" sheetId="6" r:id="rId6"/>
    <sheet name="Pensions &amp; OPEB" sheetId="7" r:id="rId7"/>
    <sheet name="Capital Assets" sheetId="8" r:id="rId8"/>
    <sheet name="Recommendations" sheetId="9" r:id="rId9"/>
    <sheet name="Enterprise Funds" sheetId="10" r:id="rId10"/>
    <sheet name="Homeless Programs" sheetId="11" r:id="rId11"/>
    <sheet name="Budget Reductions" sheetId="12" r:id="rId12"/>
    <sheet name="City Lease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2" l="1"/>
  <c r="E9" i="12"/>
  <c r="D9" i="12"/>
  <c r="C9" i="12"/>
  <c r="B9" i="12"/>
  <c r="C39" i="11"/>
  <c r="B6" i="8"/>
  <c r="B13" i="3"/>
  <c r="C8" i="3"/>
  <c r="D8" i="3" s="1"/>
  <c r="E8" i="3" s="1"/>
  <c r="B8" i="3"/>
  <c r="D7" i="3"/>
  <c r="E7" i="3" s="1"/>
  <c r="D6" i="3"/>
  <c r="E6" i="3" s="1"/>
  <c r="D5" i="3"/>
  <c r="E5" i="3" s="1"/>
  <c r="D4" i="3"/>
  <c r="E4" i="3" s="1"/>
  <c r="D29" i="2"/>
  <c r="E29" i="2" s="1"/>
  <c r="C29" i="2"/>
  <c r="B29" i="2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K8" i="2"/>
  <c r="J8" i="2"/>
  <c r="I8" i="2"/>
  <c r="H8" i="2"/>
  <c r="G8" i="2"/>
  <c r="F8" i="2"/>
  <c r="E8" i="2"/>
  <c r="D8" i="2"/>
  <c r="C8" i="2"/>
  <c r="B8" i="2"/>
  <c r="L7" i="2"/>
  <c r="L6" i="2"/>
</calcChain>
</file>

<file path=xl/sharedStrings.xml><?xml version="1.0" encoding="utf-8"?>
<sst xmlns="http://schemas.openxmlformats.org/spreadsheetml/2006/main" count="735" uniqueCount="468">
  <si>
    <t>Berkeley Transparency Hub — Fiscal Health Dashboard</t>
  </si>
  <si>
    <t>Source: City Auditor Financial Condition Audit, April 8, 2026</t>
  </si>
  <si>
    <t>All dollar figures in millions, adjusted to 2025 dollars unless noted</t>
  </si>
  <si>
    <t>KEY FISCAL METRICS</t>
  </si>
  <si>
    <t>Metric</t>
  </si>
  <si>
    <t>Value</t>
  </si>
  <si>
    <t>Trend / Context</t>
  </si>
  <si>
    <t>Risk Level</t>
  </si>
  <si>
    <t>Structural GF Deficit (FY2027 est.)</t>
  </si>
  <si>
    <t>$32M</t>
  </si>
  <si>
    <t>Projected; one-time measures unsustainable</t>
  </si>
  <si>
    <t>HIGH</t>
  </si>
  <si>
    <t>Structural GF Deficit (FY2028 est.)</t>
  </si>
  <si>
    <t>$33M</t>
  </si>
  <si>
    <t>Growing deficit trajectory</t>
  </si>
  <si>
    <t>Unfunded Capital &amp; Deferred Maint.</t>
  </si>
  <si>
    <t>$1.8B</t>
  </si>
  <si>
    <t>Tripled from $603.5M in FY2017</t>
  </si>
  <si>
    <t>Net Pension Liability</t>
  </si>
  <si>
    <t>$694.8M</t>
  </si>
  <si>
    <t>Down from $757.8M peak (FY2019)</t>
  </si>
  <si>
    <t>Pension Funded Ratio</t>
  </si>
  <si>
    <t>66%</t>
  </si>
  <si>
    <t>High risk (0-70%); tied 2nd worst of peers</t>
  </si>
  <si>
    <t>Net Retiree Healthcare Liability</t>
  </si>
  <si>
    <t>$43.4M</t>
  </si>
  <si>
    <t>Down 70% from $147.2M (FY2016)</t>
  </si>
  <si>
    <t>MODERATE</t>
  </si>
  <si>
    <t>Section 115 Trust Balance</t>
  </si>
  <si>
    <t>$29.5M</t>
  </si>
  <si>
    <t>Missed target 5 of 7 years</t>
  </si>
  <si>
    <t>GF Reserves (% of Revenue)</t>
  </si>
  <si>
    <t>21.3%</t>
  </si>
  <si>
    <t>On track for 20-30% goal by FY2026</t>
  </si>
  <si>
    <t>LOW</t>
  </si>
  <si>
    <t>Liquidity Ratio</t>
  </si>
  <si>
    <t>3.4</t>
  </si>
  <si>
    <t>Above 1.0 threshold; below pre-pandemic 5.9</t>
  </si>
  <si>
    <t>Net Position (Gov Activities)</t>
  </si>
  <si>
    <t>$197.8M</t>
  </si>
  <si>
    <t>Up from -$152.6M in FY2018</t>
  </si>
  <si>
    <t>Bond Rating (S&amp;P / Moody's)</t>
  </si>
  <si>
    <t>AA+ / Aa1</t>
  </si>
  <si>
    <t>Stable; 2nd highest ratings</t>
  </si>
  <si>
    <t>Annual Pension Payment (FY2025→FY2034)</t>
  </si>
  <si>
    <t>$76M → $108M</t>
  </si>
  <si>
    <t>Required CalPERS contributions rising</t>
  </si>
  <si>
    <t>UPCOMING BALLOT MEASURES (2026)</t>
  </si>
  <si>
    <t>Measure</t>
  </si>
  <si>
    <t>Amount</t>
  </si>
  <si>
    <t>Purpose</t>
  </si>
  <si>
    <t>Status</t>
  </si>
  <si>
    <t>0.5% Sales Tax</t>
  </si>
  <si>
    <t>$9-10M/year</t>
  </si>
  <si>
    <t>General Fund revenue; ongoing until ended by voters</t>
  </si>
  <si>
    <t>Under Consideration</t>
  </si>
  <si>
    <t>$300M GO Bond</t>
  </si>
  <si>
    <t>$300M (bonds)</t>
  </si>
  <si>
    <t>Capital infrastructure; unfunded maintenance</t>
  </si>
  <si>
    <t>Staff recommended Dec 2025</t>
  </si>
  <si>
    <t>Governmental Activities Revenue &amp; Expenses (in millions, 2025 dollars)</t>
  </si>
  <si>
    <t>Source: Berkeley ACFRs FY2016-FY2025</t>
  </si>
  <si>
    <t>REVENUES AND EXPENSES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</si>
  <si>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</si>
  <si>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</si>
  <si>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</si>
  <si>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</si>
  <si>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</si>
  <si>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</si>
  <si>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</si>
  <si>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</si>
  <si>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</si>
  <si>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</si>
  <si>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Change FY16-25</t>
  </si>
  <si>
    <t>Total Revenues</t>
  </si>
  <si>
    <t>Total Expenses</t>
  </si>
  <si>
    <t>Surplus / (Deficit)</t>
  </si>
  <si>
    <t>REVENUE BY SOURCE (FY2025 shares)</t>
  </si>
  <si>
    <t>Property Taxes (49% of FY25)</t>
  </si>
  <si>
    <t>State and Local Taxes (23% of FY25)</t>
  </si>
  <si>
    <t>Grants &amp; Contributions (10% of FY25)</t>
  </si>
  <si>
    <t>Charges for Service (9% of FY25)</t>
  </si>
  <si>
    <t>Investment Earnings (8% of FY25)</t>
  </si>
  <si>
    <t>Other (1% of FY25)</t>
  </si>
  <si>
    <t>EXPENSES BY FUNCTION (FY2016 vs FY2025, 2025 $M)</t>
  </si>
  <si>
    <t>Function</t>
  </si>
  <si>
    <t>Change ($M)</t>
  </si>
  <si>
    <t>Change (%)</t>
  </si>
  <si>
    <t>General Government</t>
  </si>
  <si>
    <t>Public Safety</t>
  </si>
  <si>
    <t>Highways and Streets</t>
  </si>
  <si>
    <t>Health and Welfare</t>
  </si>
  <si>
    <t>Culture and Recreation</t>
  </si>
  <si>
    <t>Community Development and Housing</t>
  </si>
  <si>
    <t>Economic Development</t>
  </si>
  <si>
    <t>Interest on Long-Term Debt</t>
  </si>
  <si>
    <t>TOTAL</t>
  </si>
  <si>
    <t>Personnel Expenditures (in millions, 2025 dollars)</t>
  </si>
  <si>
    <t>Category</t>
  </si>
  <si>
    <t>Salaries and Wages</t>
  </si>
  <si>
    <t>Retirement Benefits</t>
  </si>
  <si>
    <t>Healthcare</t>
  </si>
  <si>
    <t>Other Benefits</t>
  </si>
  <si>
    <t>TOTAL PERSONNEL</t>
  </si>
  <si>
    <t>STAFFING</t>
  </si>
  <si>
    <t>Budgeted FTEs (FY2016)</t>
  </si>
  <si>
    <t>Budgeted FTEs (FY2025)</t>
  </si>
  <si>
    <t>FTE Growth</t>
  </si>
  <si>
    <t>Spending Growth (inflation-adj)</t>
  </si>
  <si>
    <t>GF EXPENDITURE DRIVERS (FY2027 Baseline Share)</t>
  </si>
  <si>
    <t>Salaries</t>
  </si>
  <si>
    <t>Pension Costs</t>
  </si>
  <si>
    <t>Overtime Pay</t>
  </si>
  <si>
    <t>Public Liability Insurance</t>
  </si>
  <si>
    <t>Demographic and Economic Indicators</t>
  </si>
  <si>
    <t>Population</t>
  </si>
  <si>
    <t>Taxable Assessed Value ($B, 2025$)</t>
  </si>
  <si>
    <t>PEER CITY BENCHMARKS (FY2024)</t>
  </si>
  <si>
    <t>City</t>
  </si>
  <si>
    <t>Rev/Resident</t>
  </si>
  <si>
    <t>LT Liab/Resident</t>
  </si>
  <si>
    <t>Median HH Income (2024)</t>
  </si>
  <si>
    <t>Santa Monica</t>
  </si>
  <si>
    <t>Palo Alto</t>
  </si>
  <si>
    <t>Berkeley</t>
  </si>
  <si>
    <t>Oakland</t>
  </si>
  <si>
    <t>Pasadena</t>
  </si>
  <si>
    <t>Santa Clara</t>
  </si>
  <si>
    <t>Long Beach</t>
  </si>
  <si>
    <t>Net Position, Liquidity, and Reserves</t>
  </si>
  <si>
    <t>NET POSITION — Governmental Activities ($M, 2025 dollars)</t>
  </si>
  <si>
    <t>Net Position</t>
  </si>
  <si>
    <t>LONG-TERM LIABILITIES ($M, 2025 dollars)</t>
  </si>
  <si>
    <t>Total LT Liabilities</t>
  </si>
  <si>
    <t>RESERVES</t>
  </si>
  <si>
    <t>Reserve Goal</t>
  </si>
  <si>
    <t>20-30% of adopted GF revenues</t>
  </si>
  <si>
    <t>FY2025 Reserve Level</t>
  </si>
  <si>
    <t>21.3% of adopted GF revenues</t>
  </si>
  <si>
    <t>On Track for FY2026?</t>
  </si>
  <si>
    <t>YES (projected 22.1%)</t>
  </si>
  <si>
    <t>Reserve Types</t>
  </si>
  <si>
    <t>Catastrophic Reserve + Stability Reserve</t>
  </si>
  <si>
    <t>Warning</t>
  </si>
  <si>
    <t>Reserves may be tapped for FY27/28 structural deficit</t>
  </si>
  <si>
    <t>Long-Term Debt and Bond Analysis</t>
  </si>
  <si>
    <t>GO BOND DEBT PER RESIDENT (2025 dollars)</t>
  </si>
  <si>
    <t>GO Bond Debt / Resident</t>
  </si>
  <si>
    <t>BOND RATINGS</t>
  </si>
  <si>
    <t>S&amp;P Rating</t>
  </si>
  <si>
    <t>AA+</t>
  </si>
  <si>
    <t>Moody's Rating</t>
  </si>
  <si>
    <t>Aa2</t>
  </si>
  <si>
    <t>Aa1</t>
  </si>
  <si>
    <t>DEBT COMPOSITION (FY2025, $M)</t>
  </si>
  <si>
    <t>Type</t>
  </si>
  <si>
    <t>Amount ($M)</t>
  </si>
  <si>
    <t>Share</t>
  </si>
  <si>
    <t>General Obligation Bonds</t>
  </si>
  <si>
    <t>Revenue Bonds</t>
  </si>
  <si>
    <t>Building Leases</t>
  </si>
  <si>
    <t>Capital Leases</t>
  </si>
  <si>
    <t>Loans Payable</t>
  </si>
  <si>
    <t>IT Subscriptions</t>
  </si>
  <si>
    <t>BOND ISSUANCE HISTORY</t>
  </si>
  <si>
    <t>Issuance</t>
  </si>
  <si>
    <t>Measure M (FY2016)</t>
  </si>
  <si>
    <t>Measure T1 (FY2018)</t>
  </si>
  <si>
    <t>Measure O (FY2019)</t>
  </si>
  <si>
    <t>Measure T1 (FY2020)</t>
  </si>
  <si>
    <t>Measure O (FY2022)</t>
  </si>
  <si>
    <t>Net Pension and Retiree Healthcare Liabilities ($M, 2025 dollars)</t>
  </si>
  <si>
    <t>NET PENSION LIABILITY</t>
  </si>
  <si>
    <t>NET RETIREE HEALTHCARE LIABILITY (OPEB)</t>
  </si>
  <si>
    <t>SECTION 115 TRUST</t>
  </si>
  <si>
    <t>Target Contribution</t>
  </si>
  <si>
    <t>Actual Contribution</t>
  </si>
  <si>
    <t>Trust Balance (June 2025)</t>
  </si>
  <si>
    <t>Annual Pension Payment Projection:</t>
  </si>
  <si>
    <t>FY2034 (projected)</t>
  </si>
  <si>
    <t>Capital Assets and Infrastructure ($M, 2025 dollars)</t>
  </si>
  <si>
    <t>CAPITAL INVESTMENTS</t>
  </si>
  <si>
    <t>Capital Investments</t>
  </si>
  <si>
    <t>10-Year Average</t>
  </si>
  <si>
    <t>UNFUNDED CAPITAL &amp; DEFERRED MAINTENANCE NEEDS</t>
  </si>
  <si>
    <t>Total Unfunded Needs ($M)</t>
  </si>
  <si>
    <t>UNFUNDED NEEDS BY CATEGORY (FY2024)</t>
  </si>
  <si>
    <t>Included in $1.8B Total</t>
  </si>
  <si>
    <t>Parks, Park Buildings, Pools, Waterfront, and Camps</t>
  </si>
  <si>
    <t>Yes</t>
  </si>
  <si>
    <t>Public Buildings</t>
  </si>
  <si>
    <t>Sidewalks</t>
  </si>
  <si>
    <t>Streets and Roads</t>
  </si>
  <si>
    <t>Sewers</t>
  </si>
  <si>
    <t>Storm Drains</t>
  </si>
  <si>
    <t>Traffic Signals</t>
  </si>
  <si>
    <t>Bike, Pedestrian, and Transit Projects</t>
  </si>
  <si>
    <t>Other Infrastructure</t>
  </si>
  <si>
    <t>Note: Marina unfunded waterfront needs alone = $163M</t>
  </si>
  <si>
    <t>Note: $50M+ invested in Marina over last 10 years</t>
  </si>
  <si>
    <t>Audit Recommendation Tracker — Financial Condition Audit 2026</t>
  </si>
  <si>
    <t>9 recommendations across 4 finding areas</t>
  </si>
  <si>
    <t>Rec #</t>
  </si>
  <si>
    <t>Recommendation</t>
  </si>
  <si>
    <t>Mgmt Response</t>
  </si>
  <si>
    <t>Implementation Date</t>
  </si>
  <si>
    <t>Corrective Action Plan</t>
  </si>
  <si>
    <t>1.1</t>
  </si>
  <si>
    <t>Finance Dept provide 5-year investment return comparison in annual report</t>
  </si>
  <si>
    <t>Partially Agree</t>
  </si>
  <si>
    <t>Dec 31, 2026</t>
  </si>
  <si>
    <t>Pending</t>
  </si>
  <si>
    <t>Will add table to 4th quarter reports showing 5-year rate of return</t>
  </si>
  <si>
    <t>2.1</t>
  </si>
  <si>
    <t>Propose fiscal policy for structurally balanced budget; formalize baseline budgeting from actuals</t>
  </si>
  <si>
    <t>June 30, 2028</t>
  </si>
  <si>
    <t>In Progress</t>
  </si>
  <si>
    <t>Already using prior-year actuals for FY27/28 baseline; evaluating formal policy vs Budget Instructions</t>
  </si>
  <si>
    <t>2.2</t>
  </si>
  <si>
    <t>Publicly report enterprise fund balancing plans in budget book; assess inter-fund transfers</t>
  </si>
  <si>
    <t>Agree</t>
  </si>
  <si>
    <t>Implemented</t>
  </si>
  <si>
    <t>Implemented for FY27/28 biennial budget; Budget Book has dedicated section</t>
  </si>
  <si>
    <t>2.3</t>
  </si>
  <si>
    <t>Adopt citywide policy to regularly evaluate enterprise fees</t>
  </si>
  <si>
    <t>July 1, 2027</t>
  </si>
  <si>
    <t>Develop criteria-based triggers for fee review; work with departments and fund managers</t>
  </si>
  <si>
    <t>2.4</t>
  </si>
  <si>
    <t>Establish reserve policy for each enterprise fund</t>
  </si>
  <si>
    <t>Create Special Fund Reserve Study Working Group; research best practices</t>
  </si>
  <si>
    <t>3.1</t>
  </si>
  <si>
    <t>Amend fiscal policies to require Section 115 Trust replenishment after withdrawals</t>
  </si>
  <si>
    <t>TBD</t>
  </si>
  <si>
    <t>Requires Council approval; model on GF Reserve Policy (repay within 10 years)</t>
  </si>
  <si>
    <t>4.1</t>
  </si>
  <si>
    <t>Resume biennial unfunded liability report ahead of FY29/30 budget</t>
  </si>
  <si>
    <t>Will resume in 2nd half of FY2028; return to regular biennial schedule</t>
  </si>
  <si>
    <t>4.2</t>
  </si>
  <si>
    <t>Extend Capital Improvement Program beyond 5 years (e.g., 10-year CIP)</t>
  </si>
  <si>
    <t>Longer-term planning to anticipate capital needs</t>
  </si>
  <si>
    <t>4.3</t>
  </si>
  <si>
    <t>Develop capital financing plan with future bond timing; plan GO bonds years in advance</t>
  </si>
  <si>
    <t>Multi-year financing plan covering at least CIP period; prevent sharp debt service tax rate changes</t>
  </si>
  <si>
    <t>Enterprise Fund Risk Assessment</t>
  </si>
  <si>
    <t>Fund</t>
  </si>
  <si>
    <t>Key Issues</t>
  </si>
  <si>
    <t>Off-Street Parking Fund</t>
  </si>
  <si>
    <t>Structural Deficit</t>
  </si>
  <si>
    <t>Depleted fund balance FY2020; relies on Parking Meter Fund surplus; fees not updated in 5+ yrs; $4.1M ARPA support FY22/23</t>
  </si>
  <si>
    <t>Marina Fund</t>
  </si>
  <si>
    <t>$163M unfunded waterfront needs; $50M+ invested over 10 yrs; berth occupancy down since 2016; commercial tenants struggling</t>
  </si>
  <si>
    <t>Parking Meter Fund</t>
  </si>
  <si>
    <t>Cross-subsidizing</t>
  </si>
  <si>
    <t>Transfers $1M/yr to GF (Public Commons initiative) + supports Off-Street Parking; sustainability at risk</t>
  </si>
  <si>
    <t>Berkeley Homeless Services Programs</t>
  </si>
  <si>
    <t>Source: HSPE Agenda Package, March 4, 2026 Meeting</t>
  </si>
  <si>
    <t>Organization</t>
  </si>
  <si>
    <t>Program</t>
  </si>
  <si>
    <t>Budget</t>
  </si>
  <si>
    <t>Clients Served</t>
  </si>
  <si>
    <t>Service Type</t>
  </si>
  <si>
    <t>Description</t>
  </si>
  <si>
    <t>BACS</t>
  </si>
  <si>
    <t>STAIR Pathways Center</t>
  </si>
  <si>
    <t>Shelter/Navigation</t>
  </si>
  <si>
    <t>Low-barrier emergency shelter, housing navigation</t>
  </si>
  <si>
    <t>North County HRC</t>
  </si>
  <si>
    <t>Resource Center</t>
  </si>
  <si>
    <t>Housing resource center, CES operation</t>
  </si>
  <si>
    <t>BOSS</t>
  </si>
  <si>
    <t>Step Up Housing</t>
  </si>
  <si>
    <t>New project</t>
  </si>
  <si>
    <t>Supportive Housing</t>
  </si>
  <si>
    <t>39 furnished studios, permanent affordable housing</t>
  </si>
  <si>
    <t>Singles Shelter</t>
  </si>
  <si>
    <t>Emergency Shelter</t>
  </si>
  <si>
    <t>Emergency shelter serving 34 men and 16 women</t>
  </si>
  <si>
    <t>Housing Nav Team</t>
  </si>
  <si>
    <t>Case Management</t>
  </si>
  <si>
    <t>Shelter Plus Care housing navigation</t>
  </si>
  <si>
    <t>Rep Payee Services</t>
  </si>
  <si>
    <t>Financial Services</t>
  </si>
  <si>
    <t>Representative Payee for mental illness</t>
  </si>
  <si>
    <t>Families Shelter</t>
  </si>
  <si>
    <t>Family Shelter</t>
  </si>
  <si>
    <t>14-unit family emergency shelter</t>
  </si>
  <si>
    <t>CoB</t>
  </si>
  <si>
    <t>SHC Project</t>
  </si>
  <si>
    <t>Permanent Supportive Housing</t>
  </si>
  <si>
    <t>HUD Continuum of Care PSH program</t>
  </si>
  <si>
    <t>Neighborhood Services HRT</t>
  </si>
  <si>
    <t>Outreach/Response</t>
  </si>
  <si>
    <t>Homeless Response Team, encampment response</t>
  </si>
  <si>
    <t>DBA</t>
  </si>
  <si>
    <t>Homeless Outreach Worker</t>
  </si>
  <si>
    <t>Street Outreach</t>
  </si>
  <si>
    <t>Downtown outreach specialist (not deduplicated)</t>
  </si>
  <si>
    <t>DDH</t>
  </si>
  <si>
    <t>Beyond the Horizon</t>
  </si>
  <si>
    <t>Interim Shelter</t>
  </si>
  <si>
    <t>27-room coed shelter at Berkeley Inn motel</t>
  </si>
  <si>
    <t>Veterans Shelter</t>
  </si>
  <si>
    <t>Emergency/transitional shelter for veterans</t>
  </si>
  <si>
    <t>BCRC</t>
  </si>
  <si>
    <t>Drop-In Center</t>
  </si>
  <si>
    <t>Berkeley Community Resource Center</t>
  </si>
  <si>
    <t>Winter Shelter</t>
  </si>
  <si>
    <t>Seasonal Shelter</t>
  </si>
  <si>
    <t>Winter overflow shelter</t>
  </si>
  <si>
    <t>Inclement Weather</t>
  </si>
  <si>
    <t>Emergency weather activation shelter</t>
  </si>
  <si>
    <t>Horizon Community Village</t>
  </si>
  <si>
    <t>Tiny Home Village</t>
  </si>
  <si>
    <t>40-unit tiny home community</t>
  </si>
  <si>
    <t>HAC</t>
  </si>
  <si>
    <t>SSI Advocacy</t>
  </si>
  <si>
    <t>Benefits Advocacy</t>
  </si>
  <si>
    <t>SSI/SSDI application assistance</t>
  </si>
  <si>
    <t>IH</t>
  </si>
  <si>
    <t>Campus Motel</t>
  </si>
  <si>
    <t>Interim Housing</t>
  </si>
  <si>
    <t>Motel conversion interim housing</t>
  </si>
  <si>
    <t>Case Mgmt</t>
  </si>
  <si>
    <t>Shelter Plus Care case management</t>
  </si>
  <si>
    <t>Hope Center - NPLH Match</t>
  </si>
  <si>
    <t>Clinical Services</t>
  </si>
  <si>
    <t>Mental health services for NPLH tenants</t>
  </si>
  <si>
    <t>Men's Shelter</t>
  </si>
  <si>
    <t>32 emergency beds + supportive housing</t>
  </si>
  <si>
    <t>Respite Program</t>
  </si>
  <si>
    <t>Respite Housing</t>
  </si>
  <si>
    <t>8-household independent living respite</t>
  </si>
  <si>
    <t>Women's Shelter</t>
  </si>
  <si>
    <t>32 emergency beds for women</t>
  </si>
  <si>
    <t>LLMC</t>
  </si>
  <si>
    <t>Trust Clinic</t>
  </si>
  <si>
    <t>Health Care</t>
  </si>
  <si>
    <t>Ann Chandler Public Health Center clinic</t>
  </si>
  <si>
    <t>Maudelle Miller Shirek</t>
  </si>
  <si>
    <t>Supportive Services</t>
  </si>
  <si>
    <t>Case management for NPLH tenants</t>
  </si>
  <si>
    <t>Shelter Plus Care outreach/case mgmt</t>
  </si>
  <si>
    <t>UA Homes</t>
  </si>
  <si>
    <t>Tenancy Sustaining</t>
  </si>
  <si>
    <t>Services at UA Homes and EPHC</t>
  </si>
  <si>
    <t>LSYS</t>
  </si>
  <si>
    <t>Turning Point</t>
  </si>
  <si>
    <t>Youth Transitional</t>
  </si>
  <si>
    <t>Transitional housing for youth 18-25</t>
  </si>
  <si>
    <t>PWC</t>
  </si>
  <si>
    <t>Berkeley Drop-In Center rep payee</t>
  </si>
  <si>
    <t>VoL</t>
  </si>
  <si>
    <t>Sacred Rest</t>
  </si>
  <si>
    <t>Daytime drop-in center, Telegraph neighborhood</t>
  </si>
  <si>
    <t>WDDC</t>
  </si>
  <si>
    <t>Bridget House</t>
  </si>
  <si>
    <t>Family Transitional</t>
  </si>
  <si>
    <t>Transitional housing for families</t>
  </si>
  <si>
    <t>Daytime Drop-In</t>
  </si>
  <si>
    <t>Women's daytime drop-in, resource center</t>
  </si>
  <si>
    <t>Housing Retention</t>
  </si>
  <si>
    <t>Shelter Plus Care tenancy support</t>
  </si>
  <si>
    <t>Total programs: 33</t>
  </si>
  <si>
    <t>Note: 'New project' clients = programs not yet operational. DBA count (1,245) is not deduplicated.</t>
  </si>
  <si>
    <t>FY 2027-2028 Department Budget Reduction Proposals</t>
  </si>
  <si>
    <t>Source: Budget &amp; Finance Committee, April 9, 2026</t>
  </si>
  <si>
    <t>ODPA Budget Overview</t>
  </si>
  <si>
    <t>FY27 Budget</t>
  </si>
  <si>
    <t>FY27 %</t>
  </si>
  <si>
    <t>FY28 Budget</t>
  </si>
  <si>
    <t>FY28 %</t>
  </si>
  <si>
    <t>Personnel</t>
  </si>
  <si>
    <t>Lease</t>
  </si>
  <si>
    <t>Non-Personnel</t>
  </si>
  <si>
    <t>Total</t>
  </si>
  <si>
    <t>ODPA Proposed Reductions (5.6% | ~$71.7K)</t>
  </si>
  <si>
    <t>Reduction Area</t>
  </si>
  <si>
    <t>Overtime</t>
  </si>
  <si>
    <t>Conference/Travel</t>
  </si>
  <si>
    <t>Tech Services</t>
  </si>
  <si>
    <t>Supplies &amp; Misc</t>
  </si>
  <si>
    <t>Parking Pass</t>
  </si>
  <si>
    <t>Note: To achieve 10-12.5% targets, ODPA needs additional $57K-$95K in reductions</t>
  </si>
  <si>
    <t>Note: Fixed lease obligations (~$209K FY27, ~$231K FY28) limit further reductions</t>
  </si>
  <si>
    <t>City Auditor Budget Overview</t>
  </si>
  <si>
    <t>FY26 Total Budget</t>
  </si>
  <si>
    <t>$3.8M</t>
  </si>
  <si>
    <t>Share of City Total ($783M)</t>
  </si>
  <si>
    <t>0.4%</t>
  </si>
  <si>
    <t>GF Budget</t>
  </si>
  <si>
    <t>$3.7M</t>
  </si>
  <si>
    <t>Share of GF ($296M)</t>
  </si>
  <si>
    <t>1.3%</t>
  </si>
  <si>
    <t>FTEs</t>
  </si>
  <si>
    <t>15.75</t>
  </si>
  <si>
    <t>Divisions</t>
  </si>
  <si>
    <t>Performance Audit, Whistleblower, Payroll Audit</t>
  </si>
  <si>
    <t>City Auditor Proposed Reductions</t>
  </si>
  <si>
    <t>FY27 Reduction</t>
  </si>
  <si>
    <t>FY28 Reduction</t>
  </si>
  <si>
    <t>Non-Personnel (Other)</t>
  </si>
  <si>
    <t>Overall</t>
  </si>
  <si>
    <t>Note: Auditor has no current vacancies. Will use salary savings + one-time allocations to achieve 10% target.</t>
  </si>
  <si>
    <t>Note: 36 audit recommendations implemented in past two years.</t>
  </si>
  <si>
    <t>City of Berkeley Real Property Leases &amp; License Agreements</t>
  </si>
  <si>
    <t>PUBLIC WORKS LEASES &amp; LICENSE AGREEMENTS</t>
  </si>
  <si>
    <t>Property</t>
  </si>
  <si>
    <t>Address</t>
  </si>
  <si>
    <t>Tenant</t>
  </si>
  <si>
    <t>Annual Base Rent</t>
  </si>
  <si>
    <t>Approved Amount</t>
  </si>
  <si>
    <t>Term (years)</t>
  </si>
  <si>
    <t>Civic Center Annex (5th Fl)</t>
  </si>
  <si>
    <t>1947 Center St</t>
  </si>
  <si>
    <t>Berkeley Housing Authority</t>
  </si>
  <si>
    <t>Active (Term FY2026)</t>
  </si>
  <si>
    <t>Civic Center Annex (6th Fl)</t>
  </si>
  <si>
    <t>VACANT</t>
  </si>
  <si>
    <t>—</t>
  </si>
  <si>
    <t>Berkeley Recycling</t>
  </si>
  <si>
    <t>669 Gilman St</t>
  </si>
  <si>
    <t>Community Conservation Center</t>
  </si>
  <si>
    <t>Active</t>
  </si>
  <si>
    <t>Center St Garage</t>
  </si>
  <si>
    <t>2023 Center St</t>
  </si>
  <si>
    <t>BART</t>
  </si>
  <si>
    <t>2010 Addison</t>
  </si>
  <si>
    <t>Lexi's Frozen Custard</t>
  </si>
  <si>
    <t>Telegraph-Channing Mall</t>
  </si>
  <si>
    <t>2439 Channing Way</t>
  </si>
  <si>
    <t>Framer's Workshop</t>
  </si>
  <si>
    <t>2425-a Channing Way</t>
  </si>
  <si>
    <t>DDH dba Dorothy's Closet</t>
  </si>
  <si>
    <t>2425-b Channing Way</t>
  </si>
  <si>
    <t>Postal Annex</t>
  </si>
  <si>
    <t>Active-Holdover</t>
  </si>
  <si>
    <t>2425-c Channing Way</t>
  </si>
  <si>
    <t>2433 Channing Way</t>
  </si>
  <si>
    <t>Friends of Berkeley Public Library</t>
  </si>
  <si>
    <t>2434 Durant Ave</t>
  </si>
  <si>
    <t>Plentea Berkeley (dining/storage)</t>
  </si>
  <si>
    <t>2430 Durant Ave</t>
  </si>
  <si>
    <t>Plentea Berkeley (shop)</t>
  </si>
  <si>
    <t>2438 Durant Ave</t>
  </si>
  <si>
    <t>SoDol Coffee Tasting House</t>
  </si>
  <si>
    <t>2440 Durant Ave</t>
  </si>
  <si>
    <t>We Wield The Hammer</t>
  </si>
  <si>
    <t>2442 Durant Ave</t>
  </si>
  <si>
    <t>Cheese'n Stuff Deli</t>
  </si>
  <si>
    <t>2444 Durant Ave</t>
  </si>
  <si>
    <t>Revolution Books</t>
  </si>
  <si>
    <t>2446 Durant Ave</t>
  </si>
  <si>
    <t>Moe's Flowers (stand &amp; storage)</t>
  </si>
  <si>
    <t>Moe's Flowers (shop)</t>
  </si>
  <si>
    <t>2432 Durant Ave</t>
  </si>
  <si>
    <t>M &amp; M Threading</t>
  </si>
  <si>
    <t>Around Elevator</t>
  </si>
  <si>
    <t>Egress Hallway for Telegraph Ave Shop</t>
  </si>
  <si>
    <t>PW CITY-AS-TENANT</t>
  </si>
  <si>
    <t>Fire Headquarters</t>
  </si>
  <si>
    <t>933 Gilman (6 Bldgs)</t>
  </si>
  <si>
    <t>Fire HQ and EOC - City</t>
  </si>
  <si>
    <t>Police Accountability Board</t>
  </si>
  <si>
    <t>1900 Addison, 3rd Floor</t>
  </si>
  <si>
    <t>Police Accountability - City</t>
  </si>
  <si>
    <t>PARKS, RECREATION &amp; WATERFRONT LEASES</t>
  </si>
  <si>
    <t>(Data from PRW lease list PDF)</t>
  </si>
  <si>
    <t>PRW LEASED FACILITIES (CITY IS TENANT)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</si>
</sst>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"/>
    <numFmt numFmtId="165" formatCode="0.0%"/>
    <numFmt numFmtId="166" formatCode="0.0"/>
    <numFmt numFmtId="167" formatCode="\$#,##0"/>
    <numFmt numFmtId="168" formatCode="\$#,##0.00"/>
  </numFmts>
  <fonts count="18" x14ac:knownFonts="1">
    <font>
      <sz val="11"/>
      <color theme="1"/>
      <name val="Calibri"/>
      <family val="2"/>
      <charset val="1"/>
    </font>
    <font>
      <b/>
      <sz val="16"/>
      <color rgb="FF1B4F72"/>
      <name val="Arial"/>
      <family val="2"/>
    </font>
    <font>
      <i/>
      <sz val="10"/>
      <color rgb="FF666666"/>
      <name val="Arial"/>
      <family val="2"/>
    </font>
    <font>
      <i/>
      <sz val="9"/>
      <color rgb="FF999999"/>
      <name val="Arial"/>
      <family val="2"/>
    </font>
    <font>
      <b/>
      <sz val="11"/>
      <color rgb="FF1B4F72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3"/>
      <color rgb="FF1B4F72"/>
      <name val="Arial"/>
      <family val="2"/>
    </font>
    <font>
      <i/>
      <sz val="9"/>
      <color rgb="FFCC0000"/>
      <name val="Arial"/>
      <family val="2"/>
    </font>
    <font>
      <sz val="9"/>
      <name val="Arial"/>
      <family val="2"/>
    </font>
    <font>
      <b/>
      <sz val="14"/>
      <color rgb="FF1B4F72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4E6F1"/>
        <bgColor rgb="FFC6EFCE"/>
      </patternFill>
    </fill>
    <fill>
      <patternFill patternType="solid">
        <fgColor rgb="FF1B4F7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D4E6F1"/>
      </patternFill>
    </fill>
    <fill>
      <patternFill patternType="solid">
        <fgColor rgb="FFFCE4D6"/>
        <bgColor rgb="FFFFEB9C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9E8F5"/>
        <bgColor rgb="FFD9E8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8" fillId="7" borderId="1" xfId="0" applyFont="1" applyFill="1" applyBorder="1"/>
    <xf numFmtId="0" fontId="9" fillId="0" borderId="0" xfId="0" applyFont="1"/>
    <xf numFmtId="0" fontId="6" fillId="0" borderId="0" xfId="0" applyFont="1"/>
    <xf numFmtId="164" fontId="7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8" fillId="0" borderId="0" xfId="0" applyFont="1"/>
    <xf numFmtId="3" fontId="7" fillId="0" borderId="0" xfId="0" applyNumberFormat="1" applyFont="1"/>
    <xf numFmtId="165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167" fontId="7" fillId="0" borderId="1" xfId="0" applyNumberFormat="1" applyFont="1" applyBorder="1" applyAlignment="1">
      <alignment horizontal="right"/>
    </xf>
    <xf numFmtId="0" fontId="6" fillId="2" borderId="0" xfId="0" applyFont="1" applyFill="1"/>
    <xf numFmtId="167" fontId="7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164" fontId="7" fillId="0" borderId="1" xfId="0" applyNumberFormat="1" applyFont="1" applyBorder="1"/>
    <xf numFmtId="0" fontId="4" fillId="0" borderId="0" xfId="0" applyFont="1"/>
    <xf numFmtId="167" fontId="7" fillId="0" borderId="0" xfId="0" applyNumberFormat="1" applyFont="1"/>
    <xf numFmtId="0" fontId="10" fillId="0" borderId="0" xfId="0" applyFont="1"/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4" fillId="8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 wrapText="1"/>
    </xf>
    <xf numFmtId="168" fontId="15" fillId="9" borderId="2" xfId="0" applyNumberFormat="1" applyFont="1" applyFill="1" applyBorder="1" applyAlignment="1">
      <alignment horizontal="right" vertical="center"/>
    </xf>
    <xf numFmtId="3" fontId="15" fillId="9" borderId="2" xfId="0" applyNumberFormat="1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left" vertical="center" wrapText="1"/>
    </xf>
    <xf numFmtId="168" fontId="15" fillId="10" borderId="2" xfId="0" applyNumberFormat="1" applyFont="1" applyFill="1" applyBorder="1" applyAlignment="1">
      <alignment horizontal="right" vertical="center"/>
    </xf>
    <xf numFmtId="3" fontId="15" fillId="10" borderId="2" xfId="0" applyNumberFormat="1" applyFont="1" applyFill="1" applyBorder="1" applyAlignment="1">
      <alignment horizontal="right" vertical="center"/>
    </xf>
    <xf numFmtId="0" fontId="16" fillId="0" borderId="2" xfId="0" applyFont="1" applyBorder="1" applyAlignment="1">
      <alignment horizontal="left" vertical="center" wrapText="1"/>
    </xf>
    <xf numFmtId="168" fontId="16" fillId="0" borderId="0" xfId="0" applyNumberFormat="1" applyFont="1" applyAlignment="1">
      <alignment horizontal="right" vertical="center"/>
    </xf>
    <xf numFmtId="0" fontId="15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168" fontId="15" fillId="0" borderId="2" xfId="0" applyNumberFormat="1" applyFont="1" applyBorder="1" applyAlignment="1">
      <alignment horizontal="right" vertical="center"/>
    </xf>
    <xf numFmtId="10" fontId="15" fillId="0" borderId="2" xfId="0" applyNumberFormat="1" applyFont="1" applyBorder="1" applyAlignment="1">
      <alignment horizontal="right" vertical="center"/>
    </xf>
    <xf numFmtId="10" fontId="16" fillId="0" borderId="0" xfId="0" applyNumberFormat="1" applyFont="1" applyAlignment="1">
      <alignment horizontal="right" vertical="center"/>
    </xf>
    <xf numFmtId="165" fontId="15" fillId="0" borderId="2" xfId="0" applyNumberFormat="1" applyFont="1" applyBorder="1" applyAlignment="1">
      <alignment horizontal="right" vertical="center"/>
    </xf>
    <xf numFmtId="0" fontId="15" fillId="10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4F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3" width="18" customWidth="1"/>
    <col min="4" max="4" width="45" customWidth="1"/>
  </cols>
  <sheetData>
    <row r="1" spans="1:4" ht="19.75" customHeight="1" x14ac:dyDescent="0.2">
      <c r="A1" s="1" t="s">
        <v>0</v>
      </c>
    </row>
    <row r="2" spans="1:4" ht="15" customHeight="1" x14ac:dyDescent="0.2">
      <c r="A2" s="2" t="s">
        <v>1</v>
      </c>
    </row>
    <row r="3" spans="1:4" ht="15" customHeight="1" x14ac:dyDescent="0.2">
      <c r="A3" s="3" t="s">
        <v>2</v>
      </c>
    </row>
    <row r="5" spans="1:4" ht="15" customHeight="1" x14ac:dyDescent="0.2">
      <c r="A5" s="4" t="s">
        <v>3</v>
      </c>
      <c r="B5" s="5"/>
      <c r="C5" s="5"/>
      <c r="D5" s="5"/>
    </row>
    <row r="6" spans="1:4" ht="15" customHeight="1" x14ac:dyDescent="0.2">
      <c r="A6" s="6" t="s">
        <v>4</v>
      </c>
      <c r="B6" s="6" t="s">
        <v>5</v>
      </c>
      <c r="C6" s="6" t="s">
        <v>6</v>
      </c>
      <c r="D6" s="6" t="s">
        <v>7</v>
      </c>
    </row>
    <row r="7" spans="1:4" ht="15" customHeight="1" x14ac:dyDescent="0.2">
      <c r="A7" s="7" t="s">
        <v>8</v>
      </c>
      <c r="B7" s="8" t="s">
        <v>9</v>
      </c>
      <c r="C7" s="9" t="s">
        <v>10</v>
      </c>
      <c r="D7" s="10" t="s">
        <v>11</v>
      </c>
    </row>
    <row r="8" spans="1:4" ht="15" customHeight="1" x14ac:dyDescent="0.2">
      <c r="A8" s="7" t="s">
        <v>12</v>
      </c>
      <c r="B8" s="8" t="s">
        <v>13</v>
      </c>
      <c r="C8" s="9" t="s">
        <v>14</v>
      </c>
      <c r="D8" s="10" t="s">
        <v>11</v>
      </c>
    </row>
    <row r="9" spans="1:4" ht="15" customHeight="1" x14ac:dyDescent="0.2">
      <c r="A9" s="7" t="s">
        <v>15</v>
      </c>
      <c r="B9" s="8" t="s">
        <v>16</v>
      </c>
      <c r="C9" s="9" t="s">
        <v>17</v>
      </c>
      <c r="D9" s="10" t="s">
        <v>11</v>
      </c>
    </row>
    <row r="10" spans="1:4" ht="15" customHeight="1" x14ac:dyDescent="0.2">
      <c r="A10" s="7" t="s">
        <v>18</v>
      </c>
      <c r="B10" s="8" t="s">
        <v>19</v>
      </c>
      <c r="C10" s="9" t="s">
        <v>20</v>
      </c>
      <c r="D10" s="10" t="s">
        <v>11</v>
      </c>
    </row>
    <row r="11" spans="1:4" ht="15" customHeight="1" x14ac:dyDescent="0.2">
      <c r="A11" s="7" t="s">
        <v>21</v>
      </c>
      <c r="B11" s="8" t="s">
        <v>22</v>
      </c>
      <c r="C11" s="9" t="s">
        <v>23</v>
      </c>
      <c r="D11" s="10" t="s">
        <v>11</v>
      </c>
    </row>
    <row r="12" spans="1:4" ht="15" customHeight="1" x14ac:dyDescent="0.2">
      <c r="A12" s="7" t="s">
        <v>24</v>
      </c>
      <c r="B12" s="8" t="s">
        <v>25</v>
      </c>
      <c r="C12" s="9" t="s">
        <v>26</v>
      </c>
      <c r="D12" s="11" t="s">
        <v>27</v>
      </c>
    </row>
    <row r="13" spans="1:4" ht="15" customHeight="1" x14ac:dyDescent="0.2">
      <c r="A13" s="7" t="s">
        <v>28</v>
      </c>
      <c r="B13" s="8" t="s">
        <v>29</v>
      </c>
      <c r="C13" s="9" t="s">
        <v>30</v>
      </c>
      <c r="D13" s="11" t="s">
        <v>27</v>
      </c>
    </row>
    <row r="14" spans="1:4" ht="15" customHeight="1" x14ac:dyDescent="0.2">
      <c r="A14" s="7" t="s">
        <v>31</v>
      </c>
      <c r="B14" s="8" t="s">
        <v>32</v>
      </c>
      <c r="C14" s="9" t="s">
        <v>33</v>
      </c>
      <c r="D14" s="12" t="s">
        <v>34</v>
      </c>
    </row>
    <row r="15" spans="1:4" ht="15" customHeight="1" x14ac:dyDescent="0.2">
      <c r="A15" s="7" t="s">
        <v>35</v>
      </c>
      <c r="B15" s="8" t="s">
        <v>36</v>
      </c>
      <c r="C15" s="9" t="s">
        <v>37</v>
      </c>
      <c r="D15" s="12" t="s">
        <v>34</v>
      </c>
    </row>
    <row r="16" spans="1:4" ht="15" customHeight="1" x14ac:dyDescent="0.2">
      <c r="A16" s="7" t="s">
        <v>38</v>
      </c>
      <c r="B16" s="8" t="s">
        <v>39</v>
      </c>
      <c r="C16" s="9" t="s">
        <v>40</v>
      </c>
      <c r="D16" s="12" t="s">
        <v>34</v>
      </c>
    </row>
    <row r="17" spans="1:4" ht="15" customHeight="1" x14ac:dyDescent="0.2">
      <c r="A17" s="7" t="s">
        <v>41</v>
      </c>
      <c r="B17" s="8" t="s">
        <v>42</v>
      </c>
      <c r="C17" s="9" t="s">
        <v>43</v>
      </c>
      <c r="D17" s="12" t="s">
        <v>34</v>
      </c>
    </row>
    <row r="18" spans="1:4" ht="15" customHeight="1" x14ac:dyDescent="0.2">
      <c r="A18" s="7" t="s">
        <v>44</v>
      </c>
      <c r="B18" s="8" t="s">
        <v>45</v>
      </c>
      <c r="C18" s="9" t="s">
        <v>46</v>
      </c>
      <c r="D18" s="10" t="s">
        <v>11</v>
      </c>
    </row>
    <row r="21" spans="1:4" ht="15" customHeight="1" x14ac:dyDescent="0.2">
      <c r="A21" s="4" t="s">
        <v>47</v>
      </c>
      <c r="B21" s="5"/>
      <c r="C21" s="5"/>
      <c r="D21" s="5"/>
    </row>
    <row r="22" spans="1:4" ht="15" customHeight="1" x14ac:dyDescent="0.2">
      <c r="A22" s="6" t="s">
        <v>48</v>
      </c>
      <c r="B22" s="6" t="s">
        <v>49</v>
      </c>
      <c r="C22" s="6" t="s">
        <v>50</v>
      </c>
      <c r="D22" s="6" t="s">
        <v>51</v>
      </c>
    </row>
    <row r="23" spans="1:4" ht="15" customHeight="1" x14ac:dyDescent="0.2">
      <c r="A23" s="7" t="s">
        <v>52</v>
      </c>
      <c r="B23" s="8" t="s">
        <v>53</v>
      </c>
      <c r="C23" s="9" t="s">
        <v>54</v>
      </c>
      <c r="D23" s="13" t="s">
        <v>55</v>
      </c>
    </row>
    <row r="24" spans="1:4" ht="15" customHeight="1" x14ac:dyDescent="0.2">
      <c r="A24" s="7" t="s">
        <v>56</v>
      </c>
      <c r="B24" s="8" t="s">
        <v>57</v>
      </c>
      <c r="C24" s="9" t="s">
        <v>58</v>
      </c>
      <c r="D24" s="13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  <col min="12" max="12" width="16" customWidth="1"/>
  </cols>
  <sheetData>
    <row r="1" spans="1:12" ht="16.25" customHeight="1" x14ac:dyDescent="0.2">
      <c r="A1" s="14" t="s">
        <v>60</v>
      </c>
    </row>
    <row r="2" spans="1:12" ht="15" customHeight="1" x14ac:dyDescent="0.2">
      <c r="A2" s="3" t="s">
        <v>61</v>
      </c>
    </row>
    <row r="4" spans="1:12" ht="15" customHeight="1" x14ac:dyDescent="0.2">
      <c r="A4" s="4" t="s">
        <v>62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75" customHeight="1" x14ac:dyDescent="0.2">
      <c r="A5" s="6"/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  <c r="K5" s="6" t="s">
        <v>72</v>
      </c>
      <c r="L5" s="6" t="s">
        <v>73</v>
      </c>
    </row>
    <row r="6" spans="1:12" ht="15" customHeight="1" x14ac:dyDescent="0.2">
      <c r="A6" s="15" t="s">
        <v>74</v>
      </c>
      <c r="B6" s="16">
        <v>352</v>
      </c>
      <c r="C6" s="16">
        <v>366</v>
      </c>
      <c r="D6" s="16">
        <v>368</v>
      </c>
      <c r="E6" s="16">
        <v>407</v>
      </c>
      <c r="F6" s="16">
        <v>417</v>
      </c>
      <c r="G6" s="16">
        <v>412</v>
      </c>
      <c r="H6" s="16">
        <v>487</v>
      </c>
      <c r="I6" s="16">
        <v>477</v>
      </c>
      <c r="J6" s="16">
        <v>472</v>
      </c>
      <c r="K6" s="16">
        <v>474.5</v>
      </c>
      <c r="L6" s="17">
        <f>K6/B6-1</f>
        <v>0.34801136363636354</v>
      </c>
    </row>
    <row r="7" spans="1:12" ht="15" customHeight="1" x14ac:dyDescent="0.2">
      <c r="A7" s="15" t="s">
        <v>75</v>
      </c>
      <c r="B7" s="16">
        <v>327.10000000000002</v>
      </c>
      <c r="C7" s="16">
        <v>314</v>
      </c>
      <c r="D7" s="16">
        <v>366</v>
      </c>
      <c r="E7" s="16">
        <v>388</v>
      </c>
      <c r="F7" s="16">
        <v>401</v>
      </c>
      <c r="G7" s="16">
        <v>393</v>
      </c>
      <c r="H7" s="16">
        <v>316</v>
      </c>
      <c r="I7" s="16">
        <v>387</v>
      </c>
      <c r="J7" s="16">
        <v>448</v>
      </c>
      <c r="K7" s="16">
        <v>435</v>
      </c>
      <c r="L7" s="17">
        <f>K7/B7-1</f>
        <v>0.32986854173035751</v>
      </c>
    </row>
    <row r="8" spans="1:12" ht="15" customHeight="1" x14ac:dyDescent="0.2">
      <c r="A8" s="15" t="s">
        <v>76</v>
      </c>
      <c r="B8" s="18">
        <f t="shared" ref="B8:K8" si="0">B6-B7</f>
        <v>24.899999999999977</v>
      </c>
      <c r="C8" s="18">
        <f t="shared" si="0"/>
        <v>52</v>
      </c>
      <c r="D8" s="18">
        <f t="shared" si="0"/>
        <v>2</v>
      </c>
      <c r="E8" s="18">
        <f t="shared" si="0"/>
        <v>19</v>
      </c>
      <c r="F8" s="18">
        <f t="shared" si="0"/>
        <v>16</v>
      </c>
      <c r="G8" s="18">
        <f t="shared" si="0"/>
        <v>19</v>
      </c>
      <c r="H8" s="18">
        <f t="shared" si="0"/>
        <v>171</v>
      </c>
      <c r="I8" s="18">
        <f t="shared" si="0"/>
        <v>90</v>
      </c>
      <c r="J8" s="18">
        <f t="shared" si="0"/>
        <v>24</v>
      </c>
      <c r="K8" s="18">
        <f t="shared" si="0"/>
        <v>39.5</v>
      </c>
    </row>
    <row r="10" spans="1:12" ht="15" customHeight="1" x14ac:dyDescent="0.2">
      <c r="A10" s="4" t="s">
        <v>77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26.75" customHeight="1" x14ac:dyDescent="0.2">
      <c r="A11" s="6"/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69</v>
      </c>
      <c r="I11" s="6" t="s">
        <v>70</v>
      </c>
      <c r="J11" s="6" t="s">
        <v>71</v>
      </c>
      <c r="K11" s="6" t="s">
        <v>72</v>
      </c>
      <c r="L11" s="6" t="s">
        <v>73</v>
      </c>
    </row>
    <row r="12" spans="1:12" ht="15" customHeight="1" x14ac:dyDescent="0.2">
      <c r="A12" s="19" t="s">
        <v>78</v>
      </c>
      <c r="B12" s="16">
        <v>166.5</v>
      </c>
      <c r="C12" s="18"/>
      <c r="D12" s="18"/>
      <c r="E12" s="18"/>
      <c r="F12" s="18"/>
      <c r="G12" s="18"/>
      <c r="H12" s="18"/>
      <c r="I12" s="18"/>
      <c r="J12" s="18"/>
      <c r="K12" s="16">
        <v>231.9</v>
      </c>
    </row>
    <row r="13" spans="1:12" ht="15" customHeight="1" x14ac:dyDescent="0.2">
      <c r="A13" s="19" t="s">
        <v>79</v>
      </c>
      <c r="B13" s="16">
        <v>87.1</v>
      </c>
      <c r="C13" s="18"/>
      <c r="D13" s="18"/>
      <c r="E13" s="18"/>
      <c r="F13" s="18"/>
      <c r="G13" s="18"/>
      <c r="H13" s="18"/>
      <c r="I13" s="18"/>
      <c r="J13" s="18"/>
      <c r="K13" s="16">
        <v>110.3</v>
      </c>
    </row>
    <row r="14" spans="1:12" ht="15" customHeight="1" x14ac:dyDescent="0.2">
      <c r="A14" s="19" t="s">
        <v>80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2" ht="15" customHeight="1" x14ac:dyDescent="0.2">
      <c r="A15" s="19" t="s">
        <v>81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2" ht="15" customHeight="1" x14ac:dyDescent="0.2">
      <c r="A16" s="19" t="s">
        <v>82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2" ht="15" customHeight="1" x14ac:dyDescent="0.2">
      <c r="A17" s="19" t="s">
        <v>83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9" spans="1:12" ht="15" customHeight="1" x14ac:dyDescent="0.2">
      <c r="A19" s="4" t="s">
        <v>84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5" customHeight="1" x14ac:dyDescent="0.2">
      <c r="A20" s="6" t="s">
        <v>85</v>
      </c>
      <c r="B20" s="6" t="s">
        <v>63</v>
      </c>
      <c r="C20" s="6" t="s">
        <v>72</v>
      </c>
      <c r="D20" s="6" t="s">
        <v>86</v>
      </c>
      <c r="E20" s="6" t="s">
        <v>87</v>
      </c>
    </row>
    <row r="21" spans="1:12" ht="15" customHeight="1" x14ac:dyDescent="0.2">
      <c r="A21" s="19" t="s">
        <v>88</v>
      </c>
      <c r="B21" s="16">
        <v>48.9</v>
      </c>
      <c r="C21" s="16">
        <v>65.5</v>
      </c>
      <c r="D21" s="18">
        <f t="shared" ref="D21:D29" si="1">C21-B21</f>
        <v>16.600000000000001</v>
      </c>
      <c r="E21" s="17">
        <f t="shared" ref="E21:E29" si="2">D21/B21</f>
        <v>0.33946830265848676</v>
      </c>
    </row>
    <row r="22" spans="1:12" ht="15" customHeight="1" x14ac:dyDescent="0.2">
      <c r="A22" s="19" t="s">
        <v>89</v>
      </c>
      <c r="B22" s="16">
        <v>152.9</v>
      </c>
      <c r="C22" s="16">
        <v>162.19999999999999</v>
      </c>
      <c r="D22" s="18">
        <f t="shared" si="1"/>
        <v>9.2999999999999829</v>
      </c>
      <c r="E22" s="17">
        <f t="shared" si="2"/>
        <v>6.0824068018312506E-2</v>
      </c>
    </row>
    <row r="23" spans="1:12" ht="15" customHeight="1" x14ac:dyDescent="0.2">
      <c r="A23" s="19" t="s">
        <v>90</v>
      </c>
      <c r="B23" s="16">
        <v>23.5</v>
      </c>
      <c r="C23" s="16">
        <v>25.2</v>
      </c>
      <c r="D23" s="18">
        <f t="shared" si="1"/>
        <v>1.6999999999999993</v>
      </c>
      <c r="E23" s="17">
        <f t="shared" si="2"/>
        <v>7.2340425531914859E-2</v>
      </c>
    </row>
    <row r="24" spans="1:12" ht="15" customHeight="1" x14ac:dyDescent="0.2">
      <c r="A24" s="19" t="s">
        <v>91</v>
      </c>
      <c r="B24" s="16">
        <v>26.4</v>
      </c>
      <c r="C24" s="16">
        <v>54.8</v>
      </c>
      <c r="D24" s="18">
        <f t="shared" si="1"/>
        <v>28.4</v>
      </c>
      <c r="E24" s="17">
        <f t="shared" si="2"/>
        <v>1.0757575757575757</v>
      </c>
    </row>
    <row r="25" spans="1:12" ht="15" customHeight="1" x14ac:dyDescent="0.2">
      <c r="A25" s="19" t="s">
        <v>92</v>
      </c>
      <c r="B25" s="16">
        <v>46.6</v>
      </c>
      <c r="C25" s="16">
        <v>68.7</v>
      </c>
      <c r="D25" s="18">
        <f t="shared" si="1"/>
        <v>22.1</v>
      </c>
      <c r="E25" s="17">
        <f t="shared" si="2"/>
        <v>0.47424892703862664</v>
      </c>
    </row>
    <row r="26" spans="1:12" ht="15" customHeight="1" x14ac:dyDescent="0.2">
      <c r="A26" s="19" t="s">
        <v>93</v>
      </c>
      <c r="B26" s="16">
        <v>23.4</v>
      </c>
      <c r="C26" s="16">
        <v>51.3</v>
      </c>
      <c r="D26" s="18">
        <f t="shared" si="1"/>
        <v>27.9</v>
      </c>
      <c r="E26" s="17">
        <f t="shared" si="2"/>
        <v>1.1923076923076923</v>
      </c>
    </row>
    <row r="27" spans="1:12" ht="15" customHeight="1" x14ac:dyDescent="0.2">
      <c r="A27" s="19" t="s">
        <v>94</v>
      </c>
      <c r="B27" s="16">
        <v>5.6</v>
      </c>
      <c r="C27" s="16">
        <v>5.6</v>
      </c>
      <c r="D27" s="18">
        <f t="shared" si="1"/>
        <v>0</v>
      </c>
      <c r="E27" s="17">
        <f t="shared" si="2"/>
        <v>0</v>
      </c>
    </row>
    <row r="28" spans="1:12" ht="15" customHeight="1" x14ac:dyDescent="0.2">
      <c r="A28" s="19" t="s">
        <v>95</v>
      </c>
      <c r="B28" s="16">
        <v>6.4</v>
      </c>
      <c r="C28" s="16">
        <v>8.3000000000000007</v>
      </c>
      <c r="D28" s="18">
        <f t="shared" si="1"/>
        <v>1.9000000000000004</v>
      </c>
      <c r="E28" s="17">
        <f t="shared" si="2"/>
        <v>0.29687500000000006</v>
      </c>
    </row>
    <row r="29" spans="1:12" ht="15" customHeight="1" x14ac:dyDescent="0.2">
      <c r="A29" s="15" t="s">
        <v>96</v>
      </c>
      <c r="B29" s="18">
        <f>SUM(B21:B28)</f>
        <v>333.7</v>
      </c>
      <c r="C29" s="18">
        <f>SUM(C21:C28)</f>
        <v>441.6</v>
      </c>
      <c r="D29" s="18">
        <f t="shared" si="1"/>
        <v>107.90000000000003</v>
      </c>
      <c r="E29" s="17">
        <f t="shared" si="2"/>
        <v>0.32334432124662882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5" width="16" customWidth="1"/>
  </cols>
  <sheetData>
    <row r="1" spans="1:5" ht="16.25" customHeight="1" x14ac:dyDescent="0.2">
      <c r="A1" s="14" t="s">
        <v>97</v>
      </c>
    </row>
    <row r="3" spans="1:5" ht="15" customHeight="1" x14ac:dyDescent="0.2">
      <c r="A3" s="6" t="s">
        <v>98</v>
      </c>
      <c r="B3" s="6" t="s">
        <v>63</v>
      </c>
      <c r="C3" s="6" t="s">
        <v>72</v>
      </c>
      <c r="D3" s="6" t="s">
        <v>86</v>
      </c>
      <c r="E3" s="6" t="s">
        <v>87</v>
      </c>
    </row>
    <row r="4" spans="1:5" ht="15" customHeight="1" x14ac:dyDescent="0.2">
      <c r="A4" s="19" t="s">
        <v>99</v>
      </c>
      <c r="B4" s="16">
        <v>181.3</v>
      </c>
      <c r="C4" s="16">
        <v>224.6</v>
      </c>
      <c r="D4" s="18">
        <f>C4-B4</f>
        <v>43.299999999999983</v>
      </c>
      <c r="E4" s="17">
        <f>D4/B4</f>
        <v>0.23883066740209585</v>
      </c>
    </row>
    <row r="5" spans="1:5" ht="15" customHeight="1" x14ac:dyDescent="0.2">
      <c r="A5" s="19" t="s">
        <v>100</v>
      </c>
      <c r="B5" s="16">
        <v>73.599999999999994</v>
      </c>
      <c r="C5" s="16">
        <v>97.6</v>
      </c>
      <c r="D5" s="18">
        <f>C5-B5</f>
        <v>24</v>
      </c>
      <c r="E5" s="17">
        <f>D5/B5</f>
        <v>0.32608695652173914</v>
      </c>
    </row>
    <row r="6" spans="1:5" ht="15" customHeight="1" x14ac:dyDescent="0.2">
      <c r="A6" s="19" t="s">
        <v>101</v>
      </c>
      <c r="B6" s="16">
        <v>30.3</v>
      </c>
      <c r="C6" s="16">
        <v>40.799999999999997</v>
      </c>
      <c r="D6" s="18">
        <f>C6-B6</f>
        <v>10.499999999999996</v>
      </c>
      <c r="E6" s="17">
        <f>D6/B6</f>
        <v>0.3465346534653464</v>
      </c>
    </row>
    <row r="7" spans="1:5" ht="15" customHeight="1" x14ac:dyDescent="0.2">
      <c r="A7" s="19" t="s">
        <v>102</v>
      </c>
      <c r="B7" s="16">
        <v>23.1</v>
      </c>
      <c r="C7" s="16">
        <v>7.9</v>
      </c>
      <c r="D7" s="18">
        <f>C7-B7</f>
        <v>-15.200000000000001</v>
      </c>
      <c r="E7" s="17">
        <f>D7/B7</f>
        <v>-0.65800865800865804</v>
      </c>
    </row>
    <row r="8" spans="1:5" ht="15" customHeight="1" x14ac:dyDescent="0.2">
      <c r="A8" s="15" t="s">
        <v>103</v>
      </c>
      <c r="B8" s="18">
        <f>SUM(B4:B7)</f>
        <v>308.3</v>
      </c>
      <c r="C8" s="18">
        <f>SUM(C4:C7)</f>
        <v>370.9</v>
      </c>
      <c r="D8" s="18">
        <f>C8-B8</f>
        <v>62.599999999999966</v>
      </c>
      <c r="E8" s="17">
        <f>D8/B8</f>
        <v>0.20304897826792073</v>
      </c>
    </row>
    <row r="10" spans="1:5" ht="15" customHeight="1" x14ac:dyDescent="0.2">
      <c r="A10" s="4" t="s">
        <v>104</v>
      </c>
      <c r="B10" s="5"/>
      <c r="C10" s="5"/>
      <c r="D10" s="5"/>
      <c r="E10" s="5"/>
    </row>
    <row r="11" spans="1:5" ht="15" customHeight="1" x14ac:dyDescent="0.2">
      <c r="A11" s="19" t="s">
        <v>105</v>
      </c>
      <c r="B11" s="20">
        <v>1336</v>
      </c>
    </row>
    <row r="12" spans="1:5" ht="15" customHeight="1" x14ac:dyDescent="0.2">
      <c r="A12" s="19" t="s">
        <v>106</v>
      </c>
      <c r="B12" s="20">
        <v>1747</v>
      </c>
    </row>
    <row r="13" spans="1:5" ht="15" customHeight="1" x14ac:dyDescent="0.2">
      <c r="A13" s="15" t="s">
        <v>107</v>
      </c>
      <c r="B13" s="17">
        <f>B12/B11-1</f>
        <v>0.30763473053892221</v>
      </c>
    </row>
    <row r="14" spans="1:5" ht="15" customHeight="1" x14ac:dyDescent="0.2">
      <c r="A14" s="15" t="s">
        <v>108</v>
      </c>
      <c r="B14" s="17">
        <v>0.20399999999999999</v>
      </c>
    </row>
    <row r="16" spans="1:5" ht="15" customHeight="1" x14ac:dyDescent="0.2">
      <c r="A16" s="4" t="s">
        <v>109</v>
      </c>
      <c r="B16" s="5"/>
      <c r="C16" s="5"/>
      <c r="D16" s="5"/>
      <c r="E16" s="5"/>
    </row>
    <row r="18" spans="1:2" ht="15" customHeight="1" x14ac:dyDescent="0.2">
      <c r="A18" s="19" t="s">
        <v>110</v>
      </c>
      <c r="B18" s="21">
        <v>0.34799999999999998</v>
      </c>
    </row>
    <row r="19" spans="1:2" ht="15" customHeight="1" x14ac:dyDescent="0.2">
      <c r="A19" s="19" t="s">
        <v>111</v>
      </c>
      <c r="B19" s="21">
        <v>0.17699999999999999</v>
      </c>
    </row>
    <row r="20" spans="1:2" ht="15" customHeight="1" x14ac:dyDescent="0.2">
      <c r="A20" s="19" t="s">
        <v>112</v>
      </c>
      <c r="B20" s="21">
        <v>4.2000000000000003E-2</v>
      </c>
    </row>
    <row r="21" spans="1:2" ht="15" customHeight="1" x14ac:dyDescent="0.2">
      <c r="A21" s="19" t="s">
        <v>113</v>
      </c>
      <c r="B21" s="21">
        <v>3.5999999999999997E-2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</cols>
  <sheetData>
    <row r="1" spans="1:11" ht="16.25" customHeight="1" x14ac:dyDescent="0.2">
      <c r="A1" s="14" t="s">
        <v>114</v>
      </c>
    </row>
    <row r="3" spans="1:11" ht="15" customHeight="1" x14ac:dyDescent="0.2">
      <c r="A3" s="6"/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  <c r="I3" s="6" t="s">
        <v>70</v>
      </c>
      <c r="J3" s="6" t="s">
        <v>71</v>
      </c>
      <c r="K3" s="6" t="s">
        <v>72</v>
      </c>
    </row>
    <row r="4" spans="1:11" ht="15" customHeight="1" x14ac:dyDescent="0.2">
      <c r="A4" s="15" t="s">
        <v>115</v>
      </c>
      <c r="B4" s="22">
        <v>119915</v>
      </c>
      <c r="C4" s="22">
        <v>121238</v>
      </c>
      <c r="D4" s="22">
        <v>121874</v>
      </c>
      <c r="E4" s="22">
        <v>123328</v>
      </c>
      <c r="F4" s="22">
        <v>122580</v>
      </c>
      <c r="G4" s="22">
        <v>116761</v>
      </c>
      <c r="H4" s="22">
        <v>124563</v>
      </c>
      <c r="I4" s="22">
        <v>123562</v>
      </c>
      <c r="J4" s="22">
        <v>125327</v>
      </c>
      <c r="K4" s="22">
        <v>128348</v>
      </c>
    </row>
    <row r="5" spans="1:11" ht="15" customHeight="1" x14ac:dyDescent="0.2">
      <c r="A5" s="15" t="s">
        <v>116</v>
      </c>
      <c r="B5" s="16">
        <v>19.100000000000001</v>
      </c>
      <c r="C5" s="16">
        <v>19.899999999999999</v>
      </c>
      <c r="D5" s="16">
        <v>20.2</v>
      </c>
      <c r="E5" s="16">
        <v>21</v>
      </c>
      <c r="F5" s="16">
        <v>22.1</v>
      </c>
      <c r="G5" s="16">
        <v>22.8</v>
      </c>
      <c r="H5" s="16">
        <v>23</v>
      </c>
      <c r="I5" s="16">
        <v>23.4</v>
      </c>
      <c r="J5" s="16">
        <v>27.1</v>
      </c>
      <c r="K5" s="16">
        <v>28.2</v>
      </c>
    </row>
    <row r="6" spans="1:11" ht="15" customHeight="1" x14ac:dyDescent="0.2">
      <c r="A6" s="15" t="s">
        <v>35</v>
      </c>
      <c r="B6" s="23">
        <v>4.5</v>
      </c>
      <c r="C6" s="23">
        <v>5.6</v>
      </c>
      <c r="D6" s="23">
        <v>5.9</v>
      </c>
      <c r="E6" s="23">
        <v>4.8</v>
      </c>
      <c r="F6" s="23">
        <v>3</v>
      </c>
      <c r="G6" s="23">
        <v>1.7</v>
      </c>
      <c r="H6" s="23">
        <v>2.2000000000000002</v>
      </c>
      <c r="I6" s="23">
        <v>4.0999999999999996</v>
      </c>
      <c r="J6" s="23">
        <v>4.3</v>
      </c>
      <c r="K6" s="23">
        <v>3.4</v>
      </c>
    </row>
    <row r="8" spans="1:11" ht="15" customHeight="1" x14ac:dyDescent="0.2">
      <c r="A8" s="4" t="s">
        <v>117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39.5" customHeight="1" x14ac:dyDescent="0.2">
      <c r="A9" s="6" t="s">
        <v>118</v>
      </c>
      <c r="B9" s="6" t="s">
        <v>119</v>
      </c>
      <c r="C9" s="6" t="s">
        <v>120</v>
      </c>
      <c r="D9" s="6" t="s">
        <v>121</v>
      </c>
      <c r="E9" s="6" t="s">
        <v>21</v>
      </c>
    </row>
    <row r="10" spans="1:11" ht="15" customHeight="1" x14ac:dyDescent="0.2">
      <c r="A10" s="19" t="s">
        <v>122</v>
      </c>
      <c r="B10" s="24">
        <v>6328</v>
      </c>
      <c r="C10" s="24">
        <v>3355</v>
      </c>
      <c r="D10" s="24">
        <v>130928</v>
      </c>
      <c r="E10" s="21">
        <v>0.78</v>
      </c>
    </row>
    <row r="11" spans="1:11" ht="15" customHeight="1" x14ac:dyDescent="0.2">
      <c r="A11" s="19" t="s">
        <v>123</v>
      </c>
      <c r="B11" s="24">
        <v>4124</v>
      </c>
      <c r="C11" s="24">
        <v>3621</v>
      </c>
      <c r="D11" s="24">
        <v>228517</v>
      </c>
      <c r="E11" s="21">
        <v>0.66</v>
      </c>
    </row>
    <row r="12" spans="1:11" ht="15" customHeight="1" x14ac:dyDescent="0.2">
      <c r="A12" s="25" t="s">
        <v>124</v>
      </c>
      <c r="B12" s="26">
        <v>3708</v>
      </c>
      <c r="C12" s="26">
        <v>2358</v>
      </c>
      <c r="D12" s="26">
        <v>103727</v>
      </c>
      <c r="E12" s="27">
        <v>0.66</v>
      </c>
    </row>
    <row r="13" spans="1:11" ht="15" customHeight="1" x14ac:dyDescent="0.2">
      <c r="A13" s="19" t="s">
        <v>125</v>
      </c>
      <c r="B13" s="24">
        <v>3673</v>
      </c>
      <c r="C13" s="24">
        <v>2775</v>
      </c>
      <c r="D13" s="24">
        <v>102235</v>
      </c>
      <c r="E13" s="21">
        <v>0.68</v>
      </c>
    </row>
    <row r="14" spans="1:11" ht="15" customHeight="1" x14ac:dyDescent="0.2">
      <c r="A14" s="19" t="s">
        <v>126</v>
      </c>
      <c r="B14" s="24">
        <v>3493</v>
      </c>
      <c r="C14" s="24">
        <v>1557</v>
      </c>
      <c r="D14" s="24">
        <v>105048</v>
      </c>
      <c r="E14" s="21">
        <v>0.74</v>
      </c>
    </row>
    <row r="15" spans="1:11" ht="15" customHeight="1" x14ac:dyDescent="0.2">
      <c r="A15" s="19" t="s">
        <v>127</v>
      </c>
      <c r="B15" s="24">
        <v>2743</v>
      </c>
      <c r="C15" s="24">
        <v>455</v>
      </c>
      <c r="D15" s="24">
        <v>180631</v>
      </c>
      <c r="E15" s="21">
        <v>0.63</v>
      </c>
    </row>
    <row r="16" spans="1:11" ht="15" customHeight="1" x14ac:dyDescent="0.2">
      <c r="A16" s="19" t="s">
        <v>128</v>
      </c>
      <c r="B16" s="24">
        <v>2551</v>
      </c>
      <c r="C16" s="24">
        <v>2308</v>
      </c>
      <c r="D16" s="24">
        <v>91318</v>
      </c>
      <c r="E16" s="21">
        <v>0.78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</cols>
  <sheetData>
    <row r="1" spans="1:11" ht="16.25" customHeight="1" x14ac:dyDescent="0.2">
      <c r="A1" s="14" t="s">
        <v>129</v>
      </c>
    </row>
    <row r="3" spans="1:11" ht="15" customHeight="1" x14ac:dyDescent="0.2">
      <c r="A3" s="4" t="s">
        <v>130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">
      <c r="A4" s="6"/>
      <c r="B4" s="6" t="s">
        <v>65</v>
      </c>
      <c r="C4" s="6" t="s">
        <v>66</v>
      </c>
      <c r="D4" s="6" t="s">
        <v>67</v>
      </c>
      <c r="E4" s="6" t="s">
        <v>68</v>
      </c>
      <c r="F4" s="6" t="s">
        <v>69</v>
      </c>
      <c r="G4" s="6" t="s">
        <v>70</v>
      </c>
      <c r="H4" s="6" t="s">
        <v>71</v>
      </c>
      <c r="I4" s="6" t="s">
        <v>72</v>
      </c>
    </row>
    <row r="5" spans="1:11" ht="15" customHeight="1" x14ac:dyDescent="0.2">
      <c r="A5" s="15" t="s">
        <v>131</v>
      </c>
      <c r="B5" s="16">
        <v>-152.6</v>
      </c>
      <c r="C5" s="16">
        <v>-124.4</v>
      </c>
      <c r="D5" s="16">
        <v>-139.19999999999999</v>
      </c>
      <c r="E5" s="16">
        <v>-117.1</v>
      </c>
      <c r="F5" s="16">
        <v>52.7</v>
      </c>
      <c r="G5" s="16">
        <v>141.5</v>
      </c>
      <c r="H5" s="16">
        <v>162.80000000000001</v>
      </c>
      <c r="I5" s="16">
        <v>197.8</v>
      </c>
    </row>
    <row r="7" spans="1:11" ht="15" customHeight="1" x14ac:dyDescent="0.2">
      <c r="A7" s="4" t="s">
        <v>132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 x14ac:dyDescent="0.2">
      <c r="A8" s="6"/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6" t="s">
        <v>68</v>
      </c>
      <c r="H8" s="6" t="s">
        <v>69</v>
      </c>
      <c r="I8" s="6" t="s">
        <v>70</v>
      </c>
      <c r="J8" s="6" t="s">
        <v>71</v>
      </c>
      <c r="K8" s="6" t="s">
        <v>72</v>
      </c>
    </row>
    <row r="9" spans="1:11" ht="15" customHeight="1" x14ac:dyDescent="0.2">
      <c r="A9" s="15" t="s">
        <v>133</v>
      </c>
      <c r="B9" s="16">
        <v>208.7</v>
      </c>
      <c r="C9" s="16">
        <v>208.3</v>
      </c>
      <c r="D9" s="16">
        <v>238.9</v>
      </c>
      <c r="E9" s="16">
        <v>229.2</v>
      </c>
      <c r="F9" s="16">
        <v>270.60000000000002</v>
      </c>
      <c r="G9" s="16">
        <v>310.89999999999998</v>
      </c>
      <c r="H9" s="16">
        <v>331.7</v>
      </c>
      <c r="I9" s="16">
        <v>317.7</v>
      </c>
      <c r="J9" s="16">
        <v>300</v>
      </c>
      <c r="K9" s="16">
        <v>333.8</v>
      </c>
    </row>
    <row r="11" spans="1:11" ht="15" customHeight="1" x14ac:dyDescent="0.2">
      <c r="A11" s="4" t="s">
        <v>134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3" spans="1:11" ht="15" customHeight="1" x14ac:dyDescent="0.2">
      <c r="A13" s="7" t="s">
        <v>135</v>
      </c>
      <c r="B13" s="9" t="s">
        <v>136</v>
      </c>
    </row>
    <row r="14" spans="1:11" ht="15" customHeight="1" x14ac:dyDescent="0.2">
      <c r="A14" s="7" t="s">
        <v>137</v>
      </c>
      <c r="B14" s="9" t="s">
        <v>138</v>
      </c>
    </row>
    <row r="15" spans="1:11" ht="15" customHeight="1" x14ac:dyDescent="0.2">
      <c r="A15" s="7" t="s">
        <v>139</v>
      </c>
      <c r="B15" s="9" t="s">
        <v>140</v>
      </c>
    </row>
    <row r="16" spans="1:11" ht="15" customHeight="1" x14ac:dyDescent="0.2">
      <c r="A16" s="7" t="s">
        <v>141</v>
      </c>
      <c r="B16" s="9" t="s">
        <v>142</v>
      </c>
    </row>
    <row r="17" spans="1:2" ht="15" customHeight="1" x14ac:dyDescent="0.2">
      <c r="A17" s="7" t="s">
        <v>143</v>
      </c>
      <c r="B17" s="9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</cols>
  <sheetData>
    <row r="1" spans="1:11" ht="16.25" customHeight="1" x14ac:dyDescent="0.2">
      <c r="A1" s="14" t="s">
        <v>145</v>
      </c>
    </row>
    <row r="3" spans="1:11" ht="15" customHeight="1" x14ac:dyDescent="0.2">
      <c r="A3" s="4" t="s">
        <v>146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">
      <c r="A4" s="6"/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</row>
    <row r="5" spans="1:11" ht="15" customHeight="1" x14ac:dyDescent="0.2">
      <c r="A5" s="15" t="s">
        <v>147</v>
      </c>
      <c r="B5" s="24">
        <v>958</v>
      </c>
      <c r="C5" s="24">
        <v>977</v>
      </c>
      <c r="D5" s="24">
        <v>1202</v>
      </c>
      <c r="E5" s="24">
        <v>1096</v>
      </c>
      <c r="F5" s="24">
        <v>1385</v>
      </c>
      <c r="G5" s="24">
        <v>1795</v>
      </c>
      <c r="H5" s="24">
        <v>1880</v>
      </c>
      <c r="I5" s="24">
        <v>1786</v>
      </c>
      <c r="J5" s="24">
        <v>1642</v>
      </c>
      <c r="K5" s="24">
        <v>1524</v>
      </c>
    </row>
    <row r="7" spans="1:11" ht="15" customHeight="1" x14ac:dyDescent="0.2">
      <c r="A7" s="4" t="s">
        <v>148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 x14ac:dyDescent="0.2">
      <c r="A8" s="6"/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6" t="s">
        <v>68</v>
      </c>
      <c r="H8" s="6" t="s">
        <v>69</v>
      </c>
      <c r="I8" s="6" t="s">
        <v>70</v>
      </c>
      <c r="J8" s="6" t="s">
        <v>71</v>
      </c>
      <c r="K8" s="6" t="s">
        <v>72</v>
      </c>
    </row>
    <row r="9" spans="1:11" ht="15" customHeight="1" x14ac:dyDescent="0.2">
      <c r="A9" s="15" t="s">
        <v>149</v>
      </c>
      <c r="B9" s="9" t="s">
        <v>150</v>
      </c>
      <c r="C9" s="9" t="s">
        <v>150</v>
      </c>
      <c r="D9" s="9" t="s">
        <v>150</v>
      </c>
      <c r="E9" s="9" t="s">
        <v>150</v>
      </c>
      <c r="F9" s="9" t="s">
        <v>150</v>
      </c>
      <c r="G9" s="9" t="s">
        <v>150</v>
      </c>
      <c r="H9" s="9" t="s">
        <v>150</v>
      </c>
      <c r="I9" s="9" t="s">
        <v>150</v>
      </c>
      <c r="J9" s="9" t="s">
        <v>150</v>
      </c>
      <c r="K9" s="9" t="s">
        <v>150</v>
      </c>
    </row>
    <row r="10" spans="1:11" ht="15" customHeight="1" x14ac:dyDescent="0.2">
      <c r="A10" s="15" t="s">
        <v>151</v>
      </c>
      <c r="B10" s="9" t="s">
        <v>152</v>
      </c>
      <c r="C10" s="9" t="s">
        <v>152</v>
      </c>
      <c r="D10" s="9" t="s">
        <v>152</v>
      </c>
      <c r="E10" s="9" t="s">
        <v>153</v>
      </c>
      <c r="F10" s="9" t="s">
        <v>153</v>
      </c>
      <c r="G10" s="9" t="s">
        <v>153</v>
      </c>
      <c r="H10" s="9" t="s">
        <v>153</v>
      </c>
      <c r="I10" s="9" t="s">
        <v>153</v>
      </c>
      <c r="J10" s="9" t="s">
        <v>153</v>
      </c>
      <c r="K10" s="9" t="s">
        <v>153</v>
      </c>
    </row>
    <row r="12" spans="1:11" ht="15" customHeight="1" x14ac:dyDescent="0.2">
      <c r="A12" s="4" t="s">
        <v>154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" customHeight="1" x14ac:dyDescent="0.2">
      <c r="A13" s="6" t="s">
        <v>155</v>
      </c>
      <c r="B13" s="6" t="s">
        <v>156</v>
      </c>
      <c r="C13" s="6" t="s">
        <v>157</v>
      </c>
    </row>
    <row r="14" spans="1:11" ht="15" customHeight="1" x14ac:dyDescent="0.2">
      <c r="A14" s="19" t="s">
        <v>158</v>
      </c>
      <c r="B14" s="16">
        <v>205.4</v>
      </c>
      <c r="C14" s="17">
        <v>0.8</v>
      </c>
    </row>
    <row r="15" spans="1:11" ht="15" customHeight="1" x14ac:dyDescent="0.2">
      <c r="A15" s="19" t="s">
        <v>159</v>
      </c>
      <c r="B15" s="16">
        <v>17</v>
      </c>
      <c r="C15" s="17">
        <v>7.0000000000000007E-2</v>
      </c>
    </row>
    <row r="16" spans="1:11" ht="15" customHeight="1" x14ac:dyDescent="0.2">
      <c r="A16" s="19" t="s">
        <v>160</v>
      </c>
      <c r="B16" s="16">
        <v>22.2</v>
      </c>
      <c r="C16" s="17">
        <v>0.09</v>
      </c>
    </row>
    <row r="17" spans="1:11" ht="15" customHeight="1" x14ac:dyDescent="0.2">
      <c r="A17" s="19" t="s">
        <v>161</v>
      </c>
      <c r="B17" s="16">
        <v>8.8000000000000007</v>
      </c>
      <c r="C17" s="17">
        <v>0.03</v>
      </c>
    </row>
    <row r="18" spans="1:11" ht="15" customHeight="1" x14ac:dyDescent="0.2">
      <c r="A18" s="19" t="s">
        <v>162</v>
      </c>
      <c r="B18" s="16">
        <v>2.5</v>
      </c>
      <c r="C18" s="17">
        <v>0.01</v>
      </c>
    </row>
    <row r="19" spans="1:11" ht="15" customHeight="1" x14ac:dyDescent="0.2">
      <c r="A19" s="19" t="s">
        <v>163</v>
      </c>
      <c r="B19" s="16">
        <v>2.5</v>
      </c>
      <c r="C19" s="17">
        <v>0.01</v>
      </c>
    </row>
    <row r="21" spans="1:11" ht="15" customHeight="1" x14ac:dyDescent="0.2">
      <c r="A21" s="4" t="s">
        <v>164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5" customHeight="1" x14ac:dyDescent="0.2">
      <c r="A22" s="6" t="s">
        <v>165</v>
      </c>
      <c r="B22" s="6" t="s">
        <v>156</v>
      </c>
    </row>
    <row r="23" spans="1:11" ht="15" customHeight="1" x14ac:dyDescent="0.2">
      <c r="A23" s="19" t="s">
        <v>166</v>
      </c>
      <c r="B23" s="24">
        <v>15</v>
      </c>
    </row>
    <row r="24" spans="1:11" ht="15" customHeight="1" x14ac:dyDescent="0.2">
      <c r="A24" s="19" t="s">
        <v>167</v>
      </c>
      <c r="B24" s="24">
        <v>35</v>
      </c>
    </row>
    <row r="25" spans="1:11" ht="15" customHeight="1" x14ac:dyDescent="0.2">
      <c r="A25" s="19" t="s">
        <v>168</v>
      </c>
      <c r="B25" s="24">
        <v>38</v>
      </c>
    </row>
    <row r="26" spans="1:11" ht="15" customHeight="1" x14ac:dyDescent="0.2">
      <c r="A26" s="19" t="s">
        <v>169</v>
      </c>
      <c r="B26" s="24">
        <v>45</v>
      </c>
    </row>
    <row r="27" spans="1:11" ht="15" customHeight="1" x14ac:dyDescent="0.2">
      <c r="A27" s="19" t="s">
        <v>170</v>
      </c>
      <c r="B27" s="24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</cols>
  <sheetData>
    <row r="1" spans="1:11" ht="16.25" customHeight="1" x14ac:dyDescent="0.2">
      <c r="A1" s="14" t="s">
        <v>171</v>
      </c>
    </row>
    <row r="3" spans="1:11" ht="15" customHeight="1" x14ac:dyDescent="0.2">
      <c r="A3" s="4" t="s">
        <v>172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">
      <c r="A4" s="6"/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</row>
    <row r="5" spans="1:11" ht="15" customHeight="1" x14ac:dyDescent="0.2">
      <c r="A5" s="15" t="s">
        <v>18</v>
      </c>
      <c r="B5" s="16">
        <v>642.70000000000005</v>
      </c>
      <c r="C5" s="16">
        <v>702.1</v>
      </c>
      <c r="D5" s="16">
        <v>740.3</v>
      </c>
      <c r="E5" s="16">
        <v>706.6</v>
      </c>
      <c r="F5" s="16">
        <v>741.2</v>
      </c>
      <c r="G5" s="16">
        <v>757.8</v>
      </c>
      <c r="H5" s="16">
        <v>482.5</v>
      </c>
      <c r="I5" s="16">
        <v>720</v>
      </c>
      <c r="J5" s="16">
        <v>743.9</v>
      </c>
      <c r="K5" s="16">
        <v>694.8</v>
      </c>
    </row>
    <row r="7" spans="1:11" ht="15" customHeight="1" x14ac:dyDescent="0.2">
      <c r="A7" s="4" t="s">
        <v>173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 x14ac:dyDescent="0.2">
      <c r="A8" s="6"/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6" t="s">
        <v>68</v>
      </c>
      <c r="H8" s="6" t="s">
        <v>69</v>
      </c>
      <c r="I8" s="6" t="s">
        <v>70</v>
      </c>
      <c r="J8" s="6" t="s">
        <v>71</v>
      </c>
      <c r="K8" s="6" t="s">
        <v>72</v>
      </c>
    </row>
    <row r="9" spans="1:11" ht="15" customHeight="1" x14ac:dyDescent="0.2">
      <c r="A9" s="15" t="s">
        <v>24</v>
      </c>
      <c r="B9" s="16">
        <v>147.19999999999999</v>
      </c>
      <c r="C9" s="16">
        <v>130.69999999999999</v>
      </c>
      <c r="D9" s="16">
        <v>116</v>
      </c>
      <c r="E9" s="16">
        <v>124.5</v>
      </c>
      <c r="F9" s="16">
        <v>165.5</v>
      </c>
      <c r="G9" s="16">
        <v>132.6</v>
      </c>
      <c r="H9" s="16">
        <v>86.7</v>
      </c>
      <c r="I9" s="16">
        <v>92.4</v>
      </c>
      <c r="J9" s="16">
        <v>84.8</v>
      </c>
      <c r="K9" s="16">
        <v>43.4</v>
      </c>
    </row>
    <row r="11" spans="1:11" ht="15" customHeight="1" x14ac:dyDescent="0.2">
      <c r="A11" s="4" t="s">
        <v>174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" customHeight="1" x14ac:dyDescent="0.2">
      <c r="A12" s="6"/>
      <c r="B12" s="6" t="s">
        <v>66</v>
      </c>
      <c r="C12" s="6" t="s">
        <v>67</v>
      </c>
      <c r="D12" s="6" t="s">
        <v>68</v>
      </c>
      <c r="E12" s="6" t="s">
        <v>69</v>
      </c>
      <c r="F12" s="6" t="s">
        <v>70</v>
      </c>
      <c r="G12" s="6" t="s">
        <v>71</v>
      </c>
      <c r="H12" s="6" t="s">
        <v>72</v>
      </c>
    </row>
    <row r="13" spans="1:11" ht="15" customHeight="1" x14ac:dyDescent="0.2">
      <c r="A13" s="19" t="s">
        <v>175</v>
      </c>
      <c r="B13" s="18">
        <v>4.5</v>
      </c>
      <c r="C13" s="18">
        <v>5.2</v>
      </c>
      <c r="D13" s="18">
        <v>5.5</v>
      </c>
      <c r="E13" s="18"/>
      <c r="F13" s="18"/>
      <c r="G13" s="18">
        <v>5.7</v>
      </c>
      <c r="H13" s="18"/>
    </row>
    <row r="14" spans="1:11" ht="15" customHeight="1" x14ac:dyDescent="0.2">
      <c r="A14" s="15" t="s">
        <v>176</v>
      </c>
      <c r="B14" s="16">
        <v>4.5</v>
      </c>
      <c r="C14" s="16">
        <v>1.4</v>
      </c>
      <c r="D14" s="16">
        <v>1.5</v>
      </c>
      <c r="E14" s="16">
        <v>3.6</v>
      </c>
      <c r="F14" s="16">
        <v>4.3</v>
      </c>
      <c r="G14" s="16">
        <v>5.7</v>
      </c>
      <c r="H14" s="16">
        <v>2.4</v>
      </c>
    </row>
    <row r="15" spans="1:11" ht="15" customHeight="1" x14ac:dyDescent="0.2">
      <c r="A15" s="15" t="s">
        <v>177</v>
      </c>
      <c r="B15" s="28">
        <v>29.5</v>
      </c>
    </row>
    <row r="17" spans="1:2" ht="15" customHeight="1" x14ac:dyDescent="0.2">
      <c r="A17" s="29" t="s">
        <v>178</v>
      </c>
    </row>
    <row r="18" spans="1:2" ht="15" customHeight="1" x14ac:dyDescent="0.2">
      <c r="A18" s="19" t="s">
        <v>72</v>
      </c>
      <c r="B18" s="30">
        <v>76</v>
      </c>
    </row>
    <row r="19" spans="1:2" ht="15" customHeight="1" x14ac:dyDescent="0.2">
      <c r="A19" s="19" t="s">
        <v>179</v>
      </c>
      <c r="B19" s="30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11" width="14" customWidth="1"/>
  </cols>
  <sheetData>
    <row r="1" spans="1:11" ht="16.25" customHeight="1" x14ac:dyDescent="0.2">
      <c r="A1" s="14" t="s">
        <v>180</v>
      </c>
    </row>
    <row r="3" spans="1:11" ht="15" customHeight="1" x14ac:dyDescent="0.2">
      <c r="A3" s="4" t="s">
        <v>181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customHeight="1" x14ac:dyDescent="0.2">
      <c r="A4" s="6"/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</row>
    <row r="5" spans="1:11" ht="15" customHeight="1" x14ac:dyDescent="0.2">
      <c r="A5" s="15" t="s">
        <v>182</v>
      </c>
      <c r="B5" s="16">
        <v>47.3</v>
      </c>
      <c r="C5" s="16">
        <v>69.5</v>
      </c>
      <c r="D5" s="16">
        <v>77.3</v>
      </c>
      <c r="E5" s="16">
        <v>25.8</v>
      </c>
      <c r="F5" s="16">
        <v>78.5</v>
      </c>
      <c r="G5" s="16">
        <v>79.599999999999994</v>
      </c>
      <c r="H5" s="16">
        <v>74.8</v>
      </c>
      <c r="I5" s="16">
        <v>38.200000000000003</v>
      </c>
      <c r="J5" s="16">
        <v>49.9</v>
      </c>
      <c r="K5" s="16">
        <v>93.3</v>
      </c>
    </row>
    <row r="6" spans="1:11" ht="15" customHeight="1" x14ac:dyDescent="0.2">
      <c r="A6" s="15" t="s">
        <v>183</v>
      </c>
      <c r="B6" s="18">
        <f>AVERAGE(B5:K5)</f>
        <v>63.419999999999995</v>
      </c>
    </row>
    <row r="8" spans="1:11" ht="15" customHeight="1" x14ac:dyDescent="0.2">
      <c r="A8" s="4" t="s">
        <v>184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5" customHeight="1" x14ac:dyDescent="0.2">
      <c r="A9" s="6"/>
      <c r="B9" s="6" t="s">
        <v>64</v>
      </c>
      <c r="C9" s="6" t="s">
        <v>66</v>
      </c>
      <c r="D9" s="6" t="s">
        <v>68</v>
      </c>
      <c r="E9" s="6" t="s">
        <v>71</v>
      </c>
    </row>
    <row r="10" spans="1:11" ht="15" customHeight="1" x14ac:dyDescent="0.2">
      <c r="A10" s="15" t="s">
        <v>185</v>
      </c>
      <c r="B10" s="16">
        <v>603.5</v>
      </c>
      <c r="C10" s="16"/>
      <c r="D10" s="16"/>
      <c r="E10" s="16">
        <v>1800</v>
      </c>
    </row>
    <row r="12" spans="1:11" ht="15" customHeight="1" x14ac:dyDescent="0.2">
      <c r="A12" s="4" t="s">
        <v>186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6.75" customHeight="1" x14ac:dyDescent="0.2">
      <c r="A13" s="6" t="s">
        <v>98</v>
      </c>
      <c r="B13" s="6" t="s">
        <v>187</v>
      </c>
    </row>
    <row r="14" spans="1:11" ht="15" customHeight="1" x14ac:dyDescent="0.2">
      <c r="A14" s="9" t="s">
        <v>188</v>
      </c>
      <c r="B14" s="9" t="s">
        <v>189</v>
      </c>
    </row>
    <row r="15" spans="1:11" ht="15" customHeight="1" x14ac:dyDescent="0.2">
      <c r="A15" s="9" t="s">
        <v>190</v>
      </c>
      <c r="B15" s="9" t="s">
        <v>189</v>
      </c>
    </row>
    <row r="16" spans="1:11" ht="15" customHeight="1" x14ac:dyDescent="0.2">
      <c r="A16" s="9" t="s">
        <v>191</v>
      </c>
      <c r="B16" s="9" t="s">
        <v>189</v>
      </c>
    </row>
    <row r="17" spans="1:2" ht="15" customHeight="1" x14ac:dyDescent="0.2">
      <c r="A17" s="9" t="s">
        <v>192</v>
      </c>
      <c r="B17" s="9" t="s">
        <v>189</v>
      </c>
    </row>
    <row r="18" spans="1:2" ht="15" customHeight="1" x14ac:dyDescent="0.2">
      <c r="A18" s="9" t="s">
        <v>193</v>
      </c>
      <c r="B18" s="9" t="s">
        <v>189</v>
      </c>
    </row>
    <row r="19" spans="1:2" ht="15" customHeight="1" x14ac:dyDescent="0.2">
      <c r="A19" s="9" t="s">
        <v>194</v>
      </c>
      <c r="B19" s="9" t="s">
        <v>189</v>
      </c>
    </row>
    <row r="20" spans="1:2" ht="15" customHeight="1" x14ac:dyDescent="0.2">
      <c r="A20" s="9" t="s">
        <v>195</v>
      </c>
      <c r="B20" s="9" t="s">
        <v>189</v>
      </c>
    </row>
    <row r="21" spans="1:2" ht="15" customHeight="1" x14ac:dyDescent="0.2">
      <c r="A21" s="9" t="s">
        <v>196</v>
      </c>
      <c r="B21" s="9" t="s">
        <v>189</v>
      </c>
    </row>
    <row r="22" spans="1:2" ht="15" customHeight="1" x14ac:dyDescent="0.2">
      <c r="A22" s="9" t="s">
        <v>197</v>
      </c>
      <c r="B22" s="9" t="s">
        <v>189</v>
      </c>
    </row>
    <row r="24" spans="1:2" ht="15" customHeight="1" x14ac:dyDescent="0.2">
      <c r="A24" s="31" t="s">
        <v>198</v>
      </c>
    </row>
    <row r="25" spans="1:2" ht="15" customHeight="1" x14ac:dyDescent="0.2">
      <c r="A25" s="31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45" customWidth="1"/>
    <col min="3" max="3" width="18" customWidth="1"/>
    <col min="4" max="4" width="20" customWidth="1"/>
    <col min="5" max="5" width="18" customWidth="1"/>
    <col min="6" max="6" width="50" customWidth="1"/>
  </cols>
  <sheetData>
    <row r="1" spans="1:6" ht="16.25" customHeight="1" x14ac:dyDescent="0.2">
      <c r="A1" s="14" t="s">
        <v>200</v>
      </c>
    </row>
    <row r="2" spans="1:6" ht="15" customHeight="1" x14ac:dyDescent="0.2">
      <c r="A2" s="2" t="s">
        <v>201</v>
      </c>
    </row>
    <row r="4" spans="1:6" ht="26.75" customHeight="1" x14ac:dyDescent="0.2">
      <c r="A4" s="6" t="s">
        <v>202</v>
      </c>
      <c r="B4" s="6" t="s">
        <v>203</v>
      </c>
      <c r="C4" s="6" t="s">
        <v>204</v>
      </c>
      <c r="D4" s="6" t="s">
        <v>205</v>
      </c>
      <c r="E4" s="6" t="s">
        <v>51</v>
      </c>
      <c r="F4" s="6" t="s">
        <v>206</v>
      </c>
    </row>
    <row r="5" spans="1:6" ht="23.75" customHeight="1" x14ac:dyDescent="0.2">
      <c r="A5" s="32" t="s">
        <v>207</v>
      </c>
      <c r="B5" s="33" t="s">
        <v>208</v>
      </c>
      <c r="C5" s="33" t="s">
        <v>209</v>
      </c>
      <c r="D5" s="33" t="s">
        <v>210</v>
      </c>
      <c r="E5" s="34" t="s">
        <v>211</v>
      </c>
      <c r="F5" s="35" t="s">
        <v>212</v>
      </c>
    </row>
    <row r="6" spans="1:6" ht="23.75" customHeight="1" x14ac:dyDescent="0.2">
      <c r="A6" s="32" t="s">
        <v>213</v>
      </c>
      <c r="B6" s="33" t="s">
        <v>214</v>
      </c>
      <c r="C6" s="33" t="s">
        <v>209</v>
      </c>
      <c r="D6" s="33" t="s">
        <v>215</v>
      </c>
      <c r="E6" s="36" t="s">
        <v>216</v>
      </c>
      <c r="F6" s="35" t="s">
        <v>217</v>
      </c>
    </row>
    <row r="7" spans="1:6" ht="23.75" customHeight="1" x14ac:dyDescent="0.2">
      <c r="A7" s="32" t="s">
        <v>218</v>
      </c>
      <c r="B7" s="33" t="s">
        <v>219</v>
      </c>
      <c r="C7" s="33" t="s">
        <v>220</v>
      </c>
      <c r="D7" s="33" t="s">
        <v>221</v>
      </c>
      <c r="E7" s="37" t="s">
        <v>221</v>
      </c>
      <c r="F7" s="35" t="s">
        <v>222</v>
      </c>
    </row>
    <row r="8" spans="1:6" ht="23.75" customHeight="1" x14ac:dyDescent="0.2">
      <c r="A8" s="32" t="s">
        <v>223</v>
      </c>
      <c r="B8" s="33" t="s">
        <v>224</v>
      </c>
      <c r="C8" s="33" t="s">
        <v>220</v>
      </c>
      <c r="D8" s="33" t="s">
        <v>225</v>
      </c>
      <c r="E8" s="34" t="s">
        <v>211</v>
      </c>
      <c r="F8" s="35" t="s">
        <v>226</v>
      </c>
    </row>
    <row r="9" spans="1:6" ht="22.25" customHeight="1" x14ac:dyDescent="0.2">
      <c r="A9" s="32" t="s">
        <v>227</v>
      </c>
      <c r="B9" s="33" t="s">
        <v>228</v>
      </c>
      <c r="C9" s="33" t="s">
        <v>220</v>
      </c>
      <c r="D9" s="33" t="s">
        <v>215</v>
      </c>
      <c r="E9" s="34" t="s">
        <v>211</v>
      </c>
      <c r="F9" s="35" t="s">
        <v>229</v>
      </c>
    </row>
    <row r="10" spans="1:6" ht="23.75" customHeight="1" x14ac:dyDescent="0.2">
      <c r="A10" s="32" t="s">
        <v>230</v>
      </c>
      <c r="B10" s="33" t="s">
        <v>231</v>
      </c>
      <c r="C10" s="33" t="s">
        <v>220</v>
      </c>
      <c r="D10" s="33" t="s">
        <v>232</v>
      </c>
      <c r="E10" s="34" t="s">
        <v>211</v>
      </c>
      <c r="F10" s="35" t="s">
        <v>233</v>
      </c>
    </row>
    <row r="11" spans="1:6" ht="23.75" customHeight="1" x14ac:dyDescent="0.2">
      <c r="A11" s="32" t="s">
        <v>234</v>
      </c>
      <c r="B11" s="33" t="s">
        <v>235</v>
      </c>
      <c r="C11" s="33" t="s">
        <v>220</v>
      </c>
      <c r="D11" s="33" t="s">
        <v>215</v>
      </c>
      <c r="E11" s="34" t="s">
        <v>211</v>
      </c>
      <c r="F11" s="35" t="s">
        <v>236</v>
      </c>
    </row>
    <row r="12" spans="1:6" ht="23.75" customHeight="1" x14ac:dyDescent="0.2">
      <c r="A12" s="32" t="s">
        <v>237</v>
      </c>
      <c r="B12" s="33" t="s">
        <v>238</v>
      </c>
      <c r="C12" s="33" t="s">
        <v>220</v>
      </c>
      <c r="D12" s="33" t="s">
        <v>232</v>
      </c>
      <c r="E12" s="34" t="s">
        <v>211</v>
      </c>
      <c r="F12" s="35" t="s">
        <v>239</v>
      </c>
    </row>
    <row r="13" spans="1:6" ht="23.75" customHeight="1" x14ac:dyDescent="0.2">
      <c r="A13" s="32" t="s">
        <v>240</v>
      </c>
      <c r="B13" s="33" t="s">
        <v>241</v>
      </c>
      <c r="C13" s="33" t="s">
        <v>220</v>
      </c>
      <c r="D13" s="33" t="s">
        <v>232</v>
      </c>
      <c r="E13" s="34" t="s">
        <v>211</v>
      </c>
      <c r="F13" s="35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20" customWidth="1"/>
    <col min="3" max="3" width="45" customWidth="1"/>
  </cols>
  <sheetData>
    <row r="1" spans="1:3" ht="16.25" customHeight="1" x14ac:dyDescent="0.2">
      <c r="A1" s="14" t="s">
        <v>243</v>
      </c>
    </row>
    <row r="3" spans="1:3" ht="15" customHeight="1" x14ac:dyDescent="0.2">
      <c r="A3" s="6" t="s">
        <v>244</v>
      </c>
      <c r="B3" s="6" t="s">
        <v>51</v>
      </c>
      <c r="C3" s="6" t="s">
        <v>245</v>
      </c>
    </row>
    <row r="4" spans="1:3" ht="32.75" customHeight="1" x14ac:dyDescent="0.2">
      <c r="A4" s="32" t="s">
        <v>246</v>
      </c>
      <c r="B4" s="38" t="s">
        <v>247</v>
      </c>
      <c r="C4" s="35" t="s">
        <v>248</v>
      </c>
    </row>
    <row r="5" spans="1:3" ht="32.75" customHeight="1" x14ac:dyDescent="0.2">
      <c r="A5" s="32" t="s">
        <v>249</v>
      </c>
      <c r="B5" s="38" t="s">
        <v>247</v>
      </c>
      <c r="C5" s="35" t="s">
        <v>250</v>
      </c>
    </row>
    <row r="6" spans="1:3" ht="22.25" customHeight="1" x14ac:dyDescent="0.2">
      <c r="A6" s="32" t="s">
        <v>251</v>
      </c>
      <c r="B6" s="36" t="s">
        <v>252</v>
      </c>
      <c r="C6" s="35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1"/>
  <sheetViews>
    <sheetView workbookViewId="0"/>
  </sheetViews>
  <sheetFormatPr baseColWidth="10" defaultColWidth="8.83203125" defaultRowHeight="15" x14ac:dyDescent="0.2"/>
  <cols>
    <col min="1" max="1" width="15" customWidth="1"/>
    <col min="2" max="2" width="25" customWidth="1"/>
    <col min="3" max="3" width="14" customWidth="1"/>
    <col min="4" max="4" width="16" customWidth="1"/>
    <col min="5" max="5" width="22" customWidth="1"/>
    <col min="6" max="6" width="35" customWidth="1"/>
  </cols>
  <sheetData>
    <row r="1" spans="1:6" x14ac:dyDescent="0.2">
      <c r="A1" s="58" t="s">
        <v>254</v>
      </c>
      <c r="B1" s="57"/>
      <c r="C1" s="57"/>
      <c r="D1" s="57"/>
      <c r="E1" s="57"/>
      <c r="F1" s="57"/>
    </row>
    <row r="2" spans="1:6" x14ac:dyDescent="0.2">
      <c r="A2" s="56" t="s">
        <v>255</v>
      </c>
      <c r="B2" s="57"/>
      <c r="C2" s="57"/>
      <c r="D2" s="57"/>
      <c r="E2" s="57"/>
      <c r="F2" s="57"/>
    </row>
    <row r="4" spans="1:6" ht="20" customHeight="1" x14ac:dyDescent="0.2">
      <c r="A4" s="39" t="s">
        <v>256</v>
      </c>
      <c r="B4" s="39" t="s">
        <v>257</v>
      </c>
      <c r="C4" s="39" t="s">
        <v>258</v>
      </c>
      <c r="D4" s="39" t="s">
        <v>259</v>
      </c>
      <c r="E4" s="39" t="s">
        <v>260</v>
      </c>
      <c r="F4" s="39" t="s">
        <v>261</v>
      </c>
    </row>
    <row r="5" spans="1:6" ht="28" x14ac:dyDescent="0.2">
      <c r="A5" s="40" t="s">
        <v>262</v>
      </c>
      <c r="B5" s="40" t="s">
        <v>263</v>
      </c>
      <c r="C5" s="41">
        <v>2425939</v>
      </c>
      <c r="D5" s="42">
        <v>195</v>
      </c>
      <c r="E5" s="40" t="s">
        <v>264</v>
      </c>
      <c r="F5" s="40" t="s">
        <v>265</v>
      </c>
    </row>
    <row r="6" spans="1:6" x14ac:dyDescent="0.2">
      <c r="A6" s="43" t="s">
        <v>262</v>
      </c>
      <c r="B6" s="43" t="s">
        <v>266</v>
      </c>
      <c r="C6" s="44">
        <v>2327380</v>
      </c>
      <c r="D6" s="45">
        <v>517</v>
      </c>
      <c r="E6" s="43" t="s">
        <v>267</v>
      </c>
      <c r="F6" s="43" t="s">
        <v>268</v>
      </c>
    </row>
    <row r="7" spans="1:6" ht="28" x14ac:dyDescent="0.2">
      <c r="A7" s="40" t="s">
        <v>269</v>
      </c>
      <c r="B7" s="40" t="s">
        <v>270</v>
      </c>
      <c r="C7" s="41">
        <v>1014660</v>
      </c>
      <c r="D7" s="40" t="s">
        <v>271</v>
      </c>
      <c r="E7" s="40" t="s">
        <v>272</v>
      </c>
      <c r="F7" s="40" t="s">
        <v>273</v>
      </c>
    </row>
    <row r="8" spans="1:6" ht="28" x14ac:dyDescent="0.2">
      <c r="A8" s="43" t="s">
        <v>269</v>
      </c>
      <c r="B8" s="43" t="s">
        <v>274</v>
      </c>
      <c r="C8" s="44">
        <v>104662</v>
      </c>
      <c r="D8" s="45">
        <v>179</v>
      </c>
      <c r="E8" s="43" t="s">
        <v>275</v>
      </c>
      <c r="F8" s="43" t="s">
        <v>276</v>
      </c>
    </row>
    <row r="9" spans="1:6" x14ac:dyDescent="0.2">
      <c r="A9" s="40" t="s">
        <v>269</v>
      </c>
      <c r="B9" s="40" t="s">
        <v>277</v>
      </c>
      <c r="C9" s="41">
        <v>86831</v>
      </c>
      <c r="D9" s="42">
        <v>28</v>
      </c>
      <c r="E9" s="40" t="s">
        <v>278</v>
      </c>
      <c r="F9" s="40" t="s">
        <v>279</v>
      </c>
    </row>
    <row r="10" spans="1:6" x14ac:dyDescent="0.2">
      <c r="A10" s="43" t="s">
        <v>269</v>
      </c>
      <c r="B10" s="43" t="s">
        <v>280</v>
      </c>
      <c r="C10" s="44">
        <v>52440</v>
      </c>
      <c r="D10" s="45">
        <v>74</v>
      </c>
      <c r="E10" s="43" t="s">
        <v>281</v>
      </c>
      <c r="F10" s="43" t="s">
        <v>282</v>
      </c>
    </row>
    <row r="11" spans="1:6" x14ac:dyDescent="0.2">
      <c r="A11" s="40" t="s">
        <v>269</v>
      </c>
      <c r="B11" s="40" t="s">
        <v>283</v>
      </c>
      <c r="C11" s="41">
        <v>51383</v>
      </c>
      <c r="D11" s="42">
        <v>102</v>
      </c>
      <c r="E11" s="40" t="s">
        <v>284</v>
      </c>
      <c r="F11" s="40" t="s">
        <v>285</v>
      </c>
    </row>
    <row r="12" spans="1:6" ht="28" x14ac:dyDescent="0.2">
      <c r="A12" s="43" t="s">
        <v>286</v>
      </c>
      <c r="B12" s="43" t="s">
        <v>287</v>
      </c>
      <c r="C12" s="44">
        <v>6603995</v>
      </c>
      <c r="D12" s="45">
        <v>351</v>
      </c>
      <c r="E12" s="43" t="s">
        <v>288</v>
      </c>
      <c r="F12" s="43" t="s">
        <v>289</v>
      </c>
    </row>
    <row r="13" spans="1:6" ht="28" x14ac:dyDescent="0.2">
      <c r="A13" s="40" t="s">
        <v>286</v>
      </c>
      <c r="B13" s="40" t="s">
        <v>290</v>
      </c>
      <c r="C13" s="41">
        <v>96021</v>
      </c>
      <c r="D13" s="42">
        <v>93</v>
      </c>
      <c r="E13" s="40" t="s">
        <v>291</v>
      </c>
      <c r="F13" s="40" t="s">
        <v>292</v>
      </c>
    </row>
    <row r="14" spans="1:6" ht="28" x14ac:dyDescent="0.2">
      <c r="A14" s="43" t="s">
        <v>293</v>
      </c>
      <c r="B14" s="43" t="s">
        <v>294</v>
      </c>
      <c r="C14" s="44">
        <v>40000</v>
      </c>
      <c r="D14" s="45">
        <v>1245</v>
      </c>
      <c r="E14" s="43" t="s">
        <v>295</v>
      </c>
      <c r="F14" s="43" t="s">
        <v>296</v>
      </c>
    </row>
    <row r="15" spans="1:6" x14ac:dyDescent="0.2">
      <c r="A15" s="40" t="s">
        <v>297</v>
      </c>
      <c r="B15" s="40" t="s">
        <v>298</v>
      </c>
      <c r="C15" s="41">
        <v>954317.55</v>
      </c>
      <c r="D15" s="42">
        <v>57</v>
      </c>
      <c r="E15" s="40" t="s">
        <v>299</v>
      </c>
      <c r="F15" s="40" t="s">
        <v>300</v>
      </c>
    </row>
    <row r="16" spans="1:6" x14ac:dyDescent="0.2">
      <c r="A16" s="43" t="s">
        <v>297</v>
      </c>
      <c r="B16" s="43" t="s">
        <v>301</v>
      </c>
      <c r="C16" s="44">
        <v>580000</v>
      </c>
      <c r="D16" s="45">
        <v>42</v>
      </c>
      <c r="E16" s="43" t="s">
        <v>301</v>
      </c>
      <c r="F16" s="43" t="s">
        <v>302</v>
      </c>
    </row>
    <row r="17" spans="1:6" x14ac:dyDescent="0.2">
      <c r="A17" s="40" t="s">
        <v>297</v>
      </c>
      <c r="B17" s="40" t="s">
        <v>303</v>
      </c>
      <c r="C17" s="41">
        <v>207000</v>
      </c>
      <c r="D17" s="42">
        <v>150</v>
      </c>
      <c r="E17" s="40" t="s">
        <v>304</v>
      </c>
      <c r="F17" s="40" t="s">
        <v>305</v>
      </c>
    </row>
    <row r="18" spans="1:6" x14ac:dyDescent="0.2">
      <c r="A18" s="43" t="s">
        <v>297</v>
      </c>
      <c r="B18" s="43" t="s">
        <v>306</v>
      </c>
      <c r="C18" s="44">
        <v>378000</v>
      </c>
      <c r="D18" s="45">
        <v>75</v>
      </c>
      <c r="E18" s="43" t="s">
        <v>307</v>
      </c>
      <c r="F18" s="43" t="s">
        <v>308</v>
      </c>
    </row>
    <row r="19" spans="1:6" x14ac:dyDescent="0.2">
      <c r="A19" s="40" t="s">
        <v>297</v>
      </c>
      <c r="B19" s="40" t="s">
        <v>309</v>
      </c>
      <c r="C19" s="41">
        <v>336000</v>
      </c>
      <c r="D19" s="42">
        <v>50</v>
      </c>
      <c r="E19" s="40" t="s">
        <v>307</v>
      </c>
      <c r="F19" s="40" t="s">
        <v>310</v>
      </c>
    </row>
    <row r="20" spans="1:6" x14ac:dyDescent="0.2">
      <c r="A20" s="43" t="s">
        <v>297</v>
      </c>
      <c r="B20" s="43" t="s">
        <v>311</v>
      </c>
      <c r="C20" s="44">
        <v>1830000</v>
      </c>
      <c r="D20" s="45">
        <v>45</v>
      </c>
      <c r="E20" s="43" t="s">
        <v>312</v>
      </c>
      <c r="F20" s="43" t="s">
        <v>313</v>
      </c>
    </row>
    <row r="21" spans="1:6" x14ac:dyDescent="0.2">
      <c r="A21" s="40" t="s">
        <v>314</v>
      </c>
      <c r="B21" s="40" t="s">
        <v>315</v>
      </c>
      <c r="C21" s="41">
        <v>130000</v>
      </c>
      <c r="D21" s="42">
        <v>40</v>
      </c>
      <c r="E21" s="40" t="s">
        <v>316</v>
      </c>
      <c r="F21" s="40" t="s">
        <v>317</v>
      </c>
    </row>
    <row r="22" spans="1:6" x14ac:dyDescent="0.2">
      <c r="A22" s="43" t="s">
        <v>318</v>
      </c>
      <c r="B22" s="43" t="s">
        <v>319</v>
      </c>
      <c r="C22" s="44">
        <v>1460000</v>
      </c>
      <c r="D22" s="45">
        <v>60</v>
      </c>
      <c r="E22" s="43" t="s">
        <v>320</v>
      </c>
      <c r="F22" s="43" t="s">
        <v>321</v>
      </c>
    </row>
    <row r="23" spans="1:6" x14ac:dyDescent="0.2">
      <c r="A23" s="40" t="s">
        <v>318</v>
      </c>
      <c r="B23" s="40" t="s">
        <v>322</v>
      </c>
      <c r="C23" s="41">
        <v>136946</v>
      </c>
      <c r="D23" s="42">
        <v>48</v>
      </c>
      <c r="E23" s="40" t="s">
        <v>278</v>
      </c>
      <c r="F23" s="40" t="s">
        <v>323</v>
      </c>
    </row>
    <row r="24" spans="1:6" x14ac:dyDescent="0.2">
      <c r="A24" s="43" t="s">
        <v>318</v>
      </c>
      <c r="B24" s="43" t="s">
        <v>324</v>
      </c>
      <c r="C24" s="44">
        <v>95000</v>
      </c>
      <c r="D24" s="45">
        <v>20</v>
      </c>
      <c r="E24" s="43" t="s">
        <v>325</v>
      </c>
      <c r="F24" s="43" t="s">
        <v>326</v>
      </c>
    </row>
    <row r="25" spans="1:6" x14ac:dyDescent="0.2">
      <c r="A25" s="40" t="s">
        <v>318</v>
      </c>
      <c r="B25" s="40" t="s">
        <v>327</v>
      </c>
      <c r="C25" s="41">
        <v>343349.75</v>
      </c>
      <c r="D25" s="42">
        <v>86</v>
      </c>
      <c r="E25" s="40" t="s">
        <v>275</v>
      </c>
      <c r="F25" s="40" t="s">
        <v>328</v>
      </c>
    </row>
    <row r="26" spans="1:6" x14ac:dyDescent="0.2">
      <c r="A26" s="43" t="s">
        <v>318</v>
      </c>
      <c r="B26" s="43" t="s">
        <v>329</v>
      </c>
      <c r="C26" s="44">
        <v>251794</v>
      </c>
      <c r="D26" s="45">
        <v>19</v>
      </c>
      <c r="E26" s="43" t="s">
        <v>330</v>
      </c>
      <c r="F26" s="43" t="s">
        <v>331</v>
      </c>
    </row>
    <row r="27" spans="1:6" x14ac:dyDescent="0.2">
      <c r="A27" s="40" t="s">
        <v>318</v>
      </c>
      <c r="B27" s="40" t="s">
        <v>332</v>
      </c>
      <c r="C27" s="41">
        <v>521025</v>
      </c>
      <c r="D27" s="42">
        <v>116</v>
      </c>
      <c r="E27" s="40" t="s">
        <v>275</v>
      </c>
      <c r="F27" s="40" t="s">
        <v>333</v>
      </c>
    </row>
    <row r="28" spans="1:6" x14ac:dyDescent="0.2">
      <c r="A28" s="43" t="s">
        <v>334</v>
      </c>
      <c r="B28" s="43" t="s">
        <v>335</v>
      </c>
      <c r="C28" s="44">
        <v>880000</v>
      </c>
      <c r="D28" s="43" t="s">
        <v>271</v>
      </c>
      <c r="E28" s="43" t="s">
        <v>336</v>
      </c>
      <c r="F28" s="43" t="s">
        <v>337</v>
      </c>
    </row>
    <row r="29" spans="1:6" x14ac:dyDescent="0.2">
      <c r="A29" s="40" t="s">
        <v>334</v>
      </c>
      <c r="B29" s="40" t="s">
        <v>338</v>
      </c>
      <c r="C29" s="41">
        <v>61200</v>
      </c>
      <c r="D29" s="42">
        <v>12</v>
      </c>
      <c r="E29" s="40" t="s">
        <v>339</v>
      </c>
      <c r="F29" s="40" t="s">
        <v>340</v>
      </c>
    </row>
    <row r="30" spans="1:6" x14ac:dyDescent="0.2">
      <c r="A30" s="43" t="s">
        <v>334</v>
      </c>
      <c r="B30" s="43" t="s">
        <v>322</v>
      </c>
      <c r="C30" s="44">
        <v>163644</v>
      </c>
      <c r="D30" s="45">
        <v>28</v>
      </c>
      <c r="E30" s="43" t="s">
        <v>278</v>
      </c>
      <c r="F30" s="43" t="s">
        <v>341</v>
      </c>
    </row>
    <row r="31" spans="1:6" x14ac:dyDescent="0.2">
      <c r="A31" s="40" t="s">
        <v>334</v>
      </c>
      <c r="B31" s="40" t="s">
        <v>342</v>
      </c>
      <c r="C31" s="41">
        <v>102829</v>
      </c>
      <c r="D31" s="42">
        <v>46</v>
      </c>
      <c r="E31" s="40" t="s">
        <v>343</v>
      </c>
      <c r="F31" s="40" t="s">
        <v>344</v>
      </c>
    </row>
    <row r="32" spans="1:6" x14ac:dyDescent="0.2">
      <c r="A32" s="43" t="s">
        <v>345</v>
      </c>
      <c r="B32" s="43" t="s">
        <v>346</v>
      </c>
      <c r="C32" s="44">
        <v>189255</v>
      </c>
      <c r="D32" s="45">
        <v>14</v>
      </c>
      <c r="E32" s="43" t="s">
        <v>347</v>
      </c>
      <c r="F32" s="43" t="s">
        <v>348</v>
      </c>
    </row>
    <row r="33" spans="1:6" x14ac:dyDescent="0.2">
      <c r="A33" s="40" t="s">
        <v>349</v>
      </c>
      <c r="B33" s="40" t="s">
        <v>280</v>
      </c>
      <c r="C33" s="41">
        <v>32016</v>
      </c>
      <c r="D33" s="42">
        <v>3</v>
      </c>
      <c r="E33" s="40" t="s">
        <v>281</v>
      </c>
      <c r="F33" s="40" t="s">
        <v>350</v>
      </c>
    </row>
    <row r="34" spans="1:6" ht="28" x14ac:dyDescent="0.2">
      <c r="A34" s="43" t="s">
        <v>351</v>
      </c>
      <c r="B34" s="43" t="s">
        <v>352</v>
      </c>
      <c r="C34" s="44">
        <v>250000</v>
      </c>
      <c r="D34" s="45">
        <v>62</v>
      </c>
      <c r="E34" s="43" t="s">
        <v>304</v>
      </c>
      <c r="F34" s="43" t="s">
        <v>353</v>
      </c>
    </row>
    <row r="35" spans="1:6" x14ac:dyDescent="0.2">
      <c r="A35" s="40" t="s">
        <v>354</v>
      </c>
      <c r="B35" s="40" t="s">
        <v>355</v>
      </c>
      <c r="C35" s="41">
        <v>118728</v>
      </c>
      <c r="D35" s="42">
        <v>25</v>
      </c>
      <c r="E35" s="40" t="s">
        <v>356</v>
      </c>
      <c r="F35" s="40" t="s">
        <v>357</v>
      </c>
    </row>
    <row r="36" spans="1:6" x14ac:dyDescent="0.2">
      <c r="A36" s="43" t="s">
        <v>354</v>
      </c>
      <c r="B36" s="43" t="s">
        <v>358</v>
      </c>
      <c r="C36" s="44">
        <v>74153</v>
      </c>
      <c r="D36" s="45">
        <v>1644</v>
      </c>
      <c r="E36" s="43" t="s">
        <v>304</v>
      </c>
      <c r="F36" s="43" t="s">
        <v>359</v>
      </c>
    </row>
    <row r="37" spans="1:6" x14ac:dyDescent="0.2">
      <c r="A37" s="40" t="s">
        <v>354</v>
      </c>
      <c r="B37" s="40" t="s">
        <v>360</v>
      </c>
      <c r="C37" s="41">
        <v>100190</v>
      </c>
      <c r="D37" s="42">
        <v>35</v>
      </c>
      <c r="E37" s="40" t="s">
        <v>343</v>
      </c>
      <c r="F37" s="40" t="s">
        <v>361</v>
      </c>
    </row>
    <row r="39" spans="1:6" x14ac:dyDescent="0.2">
      <c r="A39" s="46" t="s">
        <v>96</v>
      </c>
      <c r="C39" s="47">
        <f>SUM(C3:C37)</f>
        <v>21998758.300000001</v>
      </c>
    </row>
    <row r="40" spans="1:6" ht="28" x14ac:dyDescent="0.2">
      <c r="A40" s="48" t="s">
        <v>362</v>
      </c>
    </row>
    <row r="41" spans="1:6" ht="84" x14ac:dyDescent="0.2">
      <c r="A41" s="48" t="s">
        <v>363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workbookViewId="0"/>
  </sheetViews>
  <sheetFormatPr baseColWidth="10" defaultColWidth="8.83203125" defaultRowHeight="15" x14ac:dyDescent="0.2"/>
  <cols>
    <col min="1" max="1" width="35" customWidth="1"/>
    <col min="2" max="5" width="15" customWidth="1"/>
  </cols>
  <sheetData>
    <row r="1" spans="1:5" x14ac:dyDescent="0.2">
      <c r="A1" s="58" t="s">
        <v>364</v>
      </c>
      <c r="B1" s="57"/>
      <c r="C1" s="57"/>
      <c r="D1" s="57"/>
      <c r="E1" s="57"/>
    </row>
    <row r="2" spans="1:5" x14ac:dyDescent="0.2">
      <c r="A2" s="56" t="s">
        <v>365</v>
      </c>
      <c r="B2" s="57"/>
      <c r="C2" s="57"/>
      <c r="D2" s="57"/>
      <c r="E2" s="57"/>
    </row>
    <row r="4" spans="1:5" x14ac:dyDescent="0.2">
      <c r="A4" s="49" t="s">
        <v>366</v>
      </c>
    </row>
    <row r="5" spans="1:5" x14ac:dyDescent="0.2">
      <c r="A5" s="39" t="s">
        <v>98</v>
      </c>
      <c r="B5" s="39" t="s">
        <v>367</v>
      </c>
      <c r="C5" s="39" t="s">
        <v>368</v>
      </c>
      <c r="D5" s="39" t="s">
        <v>369</v>
      </c>
      <c r="E5" s="39" t="s">
        <v>370</v>
      </c>
    </row>
    <row r="6" spans="1:5" x14ac:dyDescent="0.2">
      <c r="A6" s="48" t="s">
        <v>371</v>
      </c>
      <c r="B6" s="50">
        <v>940290</v>
      </c>
      <c r="C6" s="51">
        <v>0.72889999999999999</v>
      </c>
      <c r="D6" s="50">
        <v>975596</v>
      </c>
      <c r="E6" s="51">
        <v>0.73370000000000002</v>
      </c>
    </row>
    <row r="7" spans="1:5" x14ac:dyDescent="0.2">
      <c r="A7" s="48" t="s">
        <v>372</v>
      </c>
      <c r="B7" s="50">
        <v>170386.32</v>
      </c>
      <c r="C7" s="51">
        <v>0.1321</v>
      </c>
      <c r="D7" s="50">
        <v>173794.08</v>
      </c>
      <c r="E7" s="51">
        <v>0.13070000000000001</v>
      </c>
    </row>
    <row r="8" spans="1:5" x14ac:dyDescent="0.2">
      <c r="A8" s="48" t="s">
        <v>373</v>
      </c>
      <c r="B8" s="50">
        <v>179276.35</v>
      </c>
      <c r="C8" s="51">
        <v>0.13900000000000001</v>
      </c>
      <c r="D8" s="50">
        <v>180255.31</v>
      </c>
      <c r="E8" s="51">
        <v>0.1356</v>
      </c>
    </row>
    <row r="9" spans="1:5" x14ac:dyDescent="0.2">
      <c r="A9" s="46" t="s">
        <v>374</v>
      </c>
      <c r="B9" s="47">
        <f>SUM(B4:B6)</f>
        <v>940290</v>
      </c>
      <c r="C9" s="52">
        <f>SUM(C4:C6)</f>
        <v>0.72889999999999999</v>
      </c>
      <c r="D9" s="47">
        <f>SUM(D4:D6)</f>
        <v>975596</v>
      </c>
      <c r="E9" s="52">
        <f>SUM(E4:E6)</f>
        <v>0.73370000000000002</v>
      </c>
    </row>
    <row r="11" spans="1:5" ht="28" x14ac:dyDescent="0.2">
      <c r="A11" s="46" t="s">
        <v>375</v>
      </c>
    </row>
    <row r="12" spans="1:5" x14ac:dyDescent="0.2">
      <c r="A12" s="39" t="s">
        <v>376</v>
      </c>
      <c r="B12" s="39" t="s">
        <v>49</v>
      </c>
    </row>
    <row r="13" spans="1:5" x14ac:dyDescent="0.2">
      <c r="A13" s="48" t="s">
        <v>377</v>
      </c>
      <c r="B13" s="50">
        <v>10200</v>
      </c>
    </row>
    <row r="14" spans="1:5" x14ac:dyDescent="0.2">
      <c r="A14" s="48" t="s">
        <v>378</v>
      </c>
      <c r="B14" s="50">
        <v>26400</v>
      </c>
    </row>
    <row r="15" spans="1:5" x14ac:dyDescent="0.2">
      <c r="A15" s="48" t="s">
        <v>379</v>
      </c>
      <c r="B15" s="50">
        <v>23400</v>
      </c>
    </row>
    <row r="16" spans="1:5" x14ac:dyDescent="0.2">
      <c r="A16" s="48" t="s">
        <v>380</v>
      </c>
      <c r="B16" s="50">
        <v>9400</v>
      </c>
    </row>
    <row r="17" spans="1:2" x14ac:dyDescent="0.2">
      <c r="A17" s="48" t="s">
        <v>381</v>
      </c>
      <c r="B17" s="50">
        <v>3000</v>
      </c>
    </row>
    <row r="18" spans="1:2" x14ac:dyDescent="0.2">
      <c r="A18" s="46" t="s">
        <v>374</v>
      </c>
      <c r="B18" s="47">
        <f>SUM(B13:B17)</f>
        <v>72400</v>
      </c>
    </row>
    <row r="20" spans="1:2" ht="28" x14ac:dyDescent="0.2">
      <c r="A20" s="48" t="s">
        <v>382</v>
      </c>
    </row>
    <row r="21" spans="1:2" ht="42" x14ac:dyDescent="0.2">
      <c r="A21" s="48" t="s">
        <v>383</v>
      </c>
    </row>
    <row r="23" spans="1:2" x14ac:dyDescent="0.2">
      <c r="A23" s="49" t="s">
        <v>384</v>
      </c>
    </row>
    <row r="24" spans="1:2" x14ac:dyDescent="0.2">
      <c r="A24" s="39" t="s">
        <v>4</v>
      </c>
      <c r="B24" s="39" t="s">
        <v>5</v>
      </c>
    </row>
    <row r="25" spans="1:2" x14ac:dyDescent="0.2">
      <c r="A25" s="48" t="s">
        <v>385</v>
      </c>
      <c r="B25" s="48" t="s">
        <v>386</v>
      </c>
    </row>
    <row r="26" spans="1:2" x14ac:dyDescent="0.2">
      <c r="A26" s="48" t="s">
        <v>387</v>
      </c>
      <c r="B26" s="48" t="s">
        <v>388</v>
      </c>
    </row>
    <row r="27" spans="1:2" x14ac:dyDescent="0.2">
      <c r="A27" s="48" t="s">
        <v>389</v>
      </c>
      <c r="B27" s="48" t="s">
        <v>390</v>
      </c>
    </row>
    <row r="28" spans="1:2" x14ac:dyDescent="0.2">
      <c r="A28" s="48" t="s">
        <v>391</v>
      </c>
      <c r="B28" s="48" t="s">
        <v>392</v>
      </c>
    </row>
    <row r="29" spans="1:2" x14ac:dyDescent="0.2">
      <c r="A29" s="48" t="s">
        <v>393</v>
      </c>
      <c r="B29" s="48" t="s">
        <v>394</v>
      </c>
    </row>
    <row r="30" spans="1:2" ht="56" x14ac:dyDescent="0.2">
      <c r="A30" s="48" t="s">
        <v>395</v>
      </c>
      <c r="B30" s="48" t="s">
        <v>396</v>
      </c>
    </row>
    <row r="32" spans="1:2" x14ac:dyDescent="0.2">
      <c r="A32" s="46" t="s">
        <v>397</v>
      </c>
    </row>
    <row r="33" spans="1:3" ht="30" x14ac:dyDescent="0.2">
      <c r="A33" s="39" t="s">
        <v>98</v>
      </c>
      <c r="B33" s="39" t="s">
        <v>398</v>
      </c>
      <c r="C33" s="39" t="s">
        <v>399</v>
      </c>
    </row>
    <row r="34" spans="1:3" x14ac:dyDescent="0.2">
      <c r="A34" s="48" t="s">
        <v>400</v>
      </c>
      <c r="B34" s="53">
        <v>0.38</v>
      </c>
      <c r="C34" s="53">
        <v>0.32</v>
      </c>
    </row>
    <row r="35" spans="1:3" x14ac:dyDescent="0.2">
      <c r="A35" s="48" t="s">
        <v>371</v>
      </c>
      <c r="B35" s="53">
        <v>7.0000000000000007E-2</v>
      </c>
      <c r="C35" s="53">
        <v>0.09</v>
      </c>
    </row>
    <row r="36" spans="1:3" x14ac:dyDescent="0.2">
      <c r="A36" s="48" t="s">
        <v>401</v>
      </c>
      <c r="B36" s="53">
        <v>7.2999999999999995E-2</v>
      </c>
      <c r="C36" s="53">
        <v>0.09</v>
      </c>
    </row>
    <row r="38" spans="1:3" ht="42" x14ac:dyDescent="0.2">
      <c r="A38" s="48" t="s">
        <v>402</v>
      </c>
    </row>
    <row r="39" spans="1:3" ht="28" x14ac:dyDescent="0.2">
      <c r="A39" s="48" t="s">
        <v>403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6"/>
  <sheetViews>
    <sheetView workbookViewId="0"/>
  </sheetViews>
  <sheetFormatPr baseColWidth="10" defaultColWidth="8.83203125" defaultRowHeight="15" x14ac:dyDescent="0.2"/>
  <cols>
    <col min="1" max="1" width="30" customWidth="1"/>
    <col min="2" max="2" width="22" customWidth="1"/>
    <col min="3" max="3" width="28" customWidth="1"/>
    <col min="4" max="4" width="18" customWidth="1"/>
    <col min="5" max="6" width="16" customWidth="1"/>
    <col min="7" max="7" width="12" customWidth="1"/>
  </cols>
  <sheetData>
    <row r="1" spans="1:7" x14ac:dyDescent="0.2">
      <c r="A1" s="58" t="s">
        <v>404</v>
      </c>
      <c r="B1" s="57"/>
      <c r="C1" s="57"/>
      <c r="D1" s="57"/>
      <c r="E1" s="57"/>
      <c r="F1" s="57"/>
      <c r="G1" s="57"/>
    </row>
    <row r="2" spans="1:7" x14ac:dyDescent="0.2">
      <c r="A2" s="56" t="s">
        <v>365</v>
      </c>
      <c r="B2" s="57"/>
      <c r="C2" s="57"/>
      <c r="D2" s="57"/>
      <c r="E2" s="57"/>
      <c r="F2" s="57"/>
      <c r="G2" s="57"/>
    </row>
    <row r="4" spans="1:7" ht="30" x14ac:dyDescent="0.2">
      <c r="A4" s="49" t="s">
        <v>405</v>
      </c>
    </row>
    <row r="5" spans="1:7" ht="30" x14ac:dyDescent="0.2">
      <c r="A5" s="39" t="s">
        <v>406</v>
      </c>
      <c r="B5" s="39" t="s">
        <v>407</v>
      </c>
      <c r="C5" s="39" t="s">
        <v>408</v>
      </c>
      <c r="D5" s="39" t="s">
        <v>51</v>
      </c>
      <c r="E5" s="39" t="s">
        <v>409</v>
      </c>
      <c r="F5" s="39" t="s">
        <v>410</v>
      </c>
      <c r="G5" s="39" t="s">
        <v>411</v>
      </c>
    </row>
    <row r="6" spans="1:7" x14ac:dyDescent="0.2">
      <c r="A6" s="40" t="s">
        <v>412</v>
      </c>
      <c r="B6" s="40" t="s">
        <v>413</v>
      </c>
      <c r="C6" s="40" t="s">
        <v>414</v>
      </c>
      <c r="D6" s="40" t="s">
        <v>415</v>
      </c>
      <c r="E6" s="41">
        <v>140426.35</v>
      </c>
      <c r="F6" s="41">
        <v>1404263.52</v>
      </c>
      <c r="G6" s="42">
        <v>10</v>
      </c>
    </row>
    <row r="7" spans="1:7" x14ac:dyDescent="0.2">
      <c r="A7" s="43" t="s">
        <v>416</v>
      </c>
      <c r="B7" s="43" t="s">
        <v>413</v>
      </c>
      <c r="C7" s="43" t="s">
        <v>417</v>
      </c>
      <c r="D7" s="43" t="s">
        <v>418</v>
      </c>
      <c r="E7" s="54" t="s">
        <v>418</v>
      </c>
      <c r="F7" s="54" t="s">
        <v>418</v>
      </c>
      <c r="G7" s="54" t="s">
        <v>418</v>
      </c>
    </row>
    <row r="8" spans="1:7" x14ac:dyDescent="0.2">
      <c r="A8" s="40" t="s">
        <v>419</v>
      </c>
      <c r="B8" s="40" t="s">
        <v>420</v>
      </c>
      <c r="C8" s="40" t="s">
        <v>421</v>
      </c>
      <c r="D8" s="40" t="s">
        <v>422</v>
      </c>
      <c r="E8" s="55" t="s">
        <v>418</v>
      </c>
      <c r="F8" s="55" t="s">
        <v>418</v>
      </c>
      <c r="G8" s="55" t="s">
        <v>418</v>
      </c>
    </row>
    <row r="9" spans="1:7" x14ac:dyDescent="0.2">
      <c r="A9" s="43" t="s">
        <v>423</v>
      </c>
      <c r="B9" s="43" t="s">
        <v>424</v>
      </c>
      <c r="C9" s="43" t="s">
        <v>425</v>
      </c>
      <c r="D9" s="43" t="s">
        <v>422</v>
      </c>
      <c r="E9" s="44">
        <v>51371.89</v>
      </c>
      <c r="F9" s="44">
        <v>770578.33</v>
      </c>
      <c r="G9" s="45">
        <v>15</v>
      </c>
    </row>
    <row r="10" spans="1:7" x14ac:dyDescent="0.2">
      <c r="A10" s="40" t="s">
        <v>423</v>
      </c>
      <c r="B10" s="40" t="s">
        <v>426</v>
      </c>
      <c r="C10" s="40" t="s">
        <v>427</v>
      </c>
      <c r="D10" s="40" t="s">
        <v>422</v>
      </c>
      <c r="E10" s="41">
        <v>20590.939999999999</v>
      </c>
      <c r="F10" s="41">
        <v>205909.36</v>
      </c>
      <c r="G10" s="42">
        <v>10</v>
      </c>
    </row>
    <row r="11" spans="1:7" x14ac:dyDescent="0.2">
      <c r="A11" s="43" t="s">
        <v>428</v>
      </c>
      <c r="B11" s="43" t="s">
        <v>429</v>
      </c>
      <c r="C11" s="43" t="s">
        <v>430</v>
      </c>
      <c r="D11" s="43" t="s">
        <v>422</v>
      </c>
      <c r="E11" s="44">
        <v>77223</v>
      </c>
      <c r="F11" s="44">
        <v>772230</v>
      </c>
      <c r="G11" s="45">
        <v>10</v>
      </c>
    </row>
    <row r="12" spans="1:7" x14ac:dyDescent="0.2">
      <c r="A12" s="40" t="s">
        <v>428</v>
      </c>
      <c r="B12" s="40" t="s">
        <v>431</v>
      </c>
      <c r="C12" s="40" t="s">
        <v>432</v>
      </c>
      <c r="D12" s="40" t="s">
        <v>422</v>
      </c>
      <c r="E12" s="41">
        <v>22932</v>
      </c>
      <c r="F12" s="41">
        <v>114660</v>
      </c>
      <c r="G12" s="42">
        <v>5</v>
      </c>
    </row>
    <row r="13" spans="1:7" x14ac:dyDescent="0.2">
      <c r="A13" s="43" t="s">
        <v>428</v>
      </c>
      <c r="B13" s="43" t="s">
        <v>433</v>
      </c>
      <c r="C13" s="43" t="s">
        <v>434</v>
      </c>
      <c r="D13" s="43" t="s">
        <v>435</v>
      </c>
      <c r="E13" s="44">
        <v>24999.66</v>
      </c>
      <c r="F13" s="44">
        <v>124998.3</v>
      </c>
      <c r="G13" s="45">
        <v>5</v>
      </c>
    </row>
    <row r="14" spans="1:7" x14ac:dyDescent="0.2">
      <c r="A14" s="40" t="s">
        <v>428</v>
      </c>
      <c r="B14" s="40" t="s">
        <v>436</v>
      </c>
      <c r="C14" s="40" t="s">
        <v>417</v>
      </c>
      <c r="D14" s="40" t="s">
        <v>418</v>
      </c>
      <c r="E14" s="55" t="s">
        <v>418</v>
      </c>
      <c r="F14" s="55" t="s">
        <v>418</v>
      </c>
      <c r="G14" s="55" t="s">
        <v>418</v>
      </c>
    </row>
    <row r="15" spans="1:7" x14ac:dyDescent="0.2">
      <c r="A15" s="43" t="s">
        <v>428</v>
      </c>
      <c r="B15" s="43" t="s">
        <v>437</v>
      </c>
      <c r="C15" s="43" t="s">
        <v>438</v>
      </c>
      <c r="D15" s="43" t="s">
        <v>435</v>
      </c>
      <c r="E15" s="44">
        <v>14199.24</v>
      </c>
      <c r="F15" s="44">
        <v>70996.2</v>
      </c>
      <c r="G15" s="45">
        <v>5</v>
      </c>
    </row>
    <row r="16" spans="1:7" x14ac:dyDescent="0.2">
      <c r="A16" s="40" t="s">
        <v>428</v>
      </c>
      <c r="B16" s="40" t="s">
        <v>439</v>
      </c>
      <c r="C16" s="40" t="s">
        <v>440</v>
      </c>
      <c r="D16" s="40" t="s">
        <v>435</v>
      </c>
      <c r="E16" s="41">
        <v>19112.89</v>
      </c>
      <c r="F16" s="41">
        <v>95564.44</v>
      </c>
      <c r="G16" s="42">
        <v>5</v>
      </c>
    </row>
    <row r="17" spans="1:7" x14ac:dyDescent="0.2">
      <c r="A17" s="43" t="s">
        <v>428</v>
      </c>
      <c r="B17" s="43" t="s">
        <v>441</v>
      </c>
      <c r="C17" s="43" t="s">
        <v>442</v>
      </c>
      <c r="D17" s="43" t="s">
        <v>435</v>
      </c>
      <c r="E17" s="44">
        <v>19349.57</v>
      </c>
      <c r="F17" s="44">
        <v>77398.28</v>
      </c>
      <c r="G17" s="45">
        <v>4</v>
      </c>
    </row>
    <row r="18" spans="1:7" x14ac:dyDescent="0.2">
      <c r="A18" s="40" t="s">
        <v>428</v>
      </c>
      <c r="B18" s="40" t="s">
        <v>443</v>
      </c>
      <c r="C18" s="40" t="s">
        <v>444</v>
      </c>
      <c r="D18" s="40" t="s">
        <v>435</v>
      </c>
      <c r="E18" s="41">
        <v>27376.7</v>
      </c>
      <c r="F18" s="41">
        <v>273767</v>
      </c>
      <c r="G18" s="42">
        <v>10</v>
      </c>
    </row>
    <row r="19" spans="1:7" x14ac:dyDescent="0.2">
      <c r="A19" s="43" t="s">
        <v>428</v>
      </c>
      <c r="B19" s="43" t="s">
        <v>445</v>
      </c>
      <c r="C19" s="43" t="s">
        <v>446</v>
      </c>
      <c r="D19" s="43" t="s">
        <v>422</v>
      </c>
      <c r="E19" s="44">
        <v>11655</v>
      </c>
      <c r="F19" s="44">
        <v>58275</v>
      </c>
      <c r="G19" s="45">
        <v>5</v>
      </c>
    </row>
    <row r="20" spans="1:7" x14ac:dyDescent="0.2">
      <c r="A20" s="40" t="s">
        <v>428</v>
      </c>
      <c r="B20" s="40" t="s">
        <v>447</v>
      </c>
      <c r="C20" s="40" t="s">
        <v>448</v>
      </c>
      <c r="D20" s="40" t="s">
        <v>435</v>
      </c>
      <c r="E20" s="41">
        <v>16972.25</v>
      </c>
      <c r="F20" s="41">
        <v>84861.23</v>
      </c>
      <c r="G20" s="42">
        <v>5</v>
      </c>
    </row>
    <row r="21" spans="1:7" x14ac:dyDescent="0.2">
      <c r="A21" s="43" t="s">
        <v>428</v>
      </c>
      <c r="B21" s="43" t="s">
        <v>449</v>
      </c>
      <c r="C21" s="43" t="s">
        <v>450</v>
      </c>
      <c r="D21" s="43" t="s">
        <v>435</v>
      </c>
      <c r="E21" s="44">
        <v>20241</v>
      </c>
      <c r="F21" s="44">
        <v>101205</v>
      </c>
      <c r="G21" s="45">
        <v>5</v>
      </c>
    </row>
    <row r="22" spans="1:7" x14ac:dyDescent="0.2">
      <c r="A22" s="40" t="s">
        <v>428</v>
      </c>
      <c r="B22" s="40" t="s">
        <v>451</v>
      </c>
      <c r="C22" s="40" t="s">
        <v>452</v>
      </c>
      <c r="D22" s="40" t="s">
        <v>435</v>
      </c>
      <c r="E22" s="41">
        <v>3460.75</v>
      </c>
      <c r="F22" s="41">
        <v>17303.73</v>
      </c>
      <c r="G22" s="42">
        <v>5</v>
      </c>
    </row>
    <row r="23" spans="1:7" x14ac:dyDescent="0.2">
      <c r="A23" s="43" t="s">
        <v>428</v>
      </c>
      <c r="B23" s="43" t="s">
        <v>451</v>
      </c>
      <c r="C23" s="43" t="s">
        <v>453</v>
      </c>
      <c r="D23" s="43" t="s">
        <v>435</v>
      </c>
      <c r="E23" s="44">
        <v>17253.59</v>
      </c>
      <c r="F23" s="44">
        <v>86267.94</v>
      </c>
      <c r="G23" s="45">
        <v>5</v>
      </c>
    </row>
    <row r="24" spans="1:7" x14ac:dyDescent="0.2">
      <c r="A24" s="40" t="s">
        <v>428</v>
      </c>
      <c r="B24" s="40" t="s">
        <v>454</v>
      </c>
      <c r="C24" s="40" t="s">
        <v>455</v>
      </c>
      <c r="D24" s="40" t="s">
        <v>435</v>
      </c>
      <c r="E24" s="41">
        <v>15179.8</v>
      </c>
      <c r="F24" s="41">
        <v>75899</v>
      </c>
      <c r="G24" s="42">
        <v>5</v>
      </c>
    </row>
    <row r="25" spans="1:7" ht="28" x14ac:dyDescent="0.2">
      <c r="A25" s="43" t="s">
        <v>428</v>
      </c>
      <c r="B25" s="43" t="s">
        <v>456</v>
      </c>
      <c r="C25" s="43" t="s">
        <v>457</v>
      </c>
      <c r="D25" s="43" t="s">
        <v>435</v>
      </c>
      <c r="E25" s="54" t="s">
        <v>418</v>
      </c>
      <c r="F25" s="54" t="s">
        <v>418</v>
      </c>
      <c r="G25" s="54" t="s">
        <v>418</v>
      </c>
    </row>
    <row r="27" spans="1:7" x14ac:dyDescent="0.2">
      <c r="A27" s="49" t="s">
        <v>458</v>
      </c>
    </row>
    <row r="28" spans="1:7" ht="30" x14ac:dyDescent="0.2">
      <c r="A28" s="39" t="s">
        <v>406</v>
      </c>
      <c r="B28" s="39" t="s">
        <v>407</v>
      </c>
      <c r="C28" s="39" t="s">
        <v>408</v>
      </c>
      <c r="D28" s="39" t="s">
        <v>51</v>
      </c>
      <c r="E28" s="39" t="s">
        <v>409</v>
      </c>
      <c r="F28" s="39" t="s">
        <v>410</v>
      </c>
      <c r="G28" s="39" t="s">
        <v>411</v>
      </c>
    </row>
    <row r="29" spans="1:7" x14ac:dyDescent="0.2">
      <c r="A29" s="40" t="s">
        <v>459</v>
      </c>
      <c r="B29" s="40" t="s">
        <v>460</v>
      </c>
      <c r="C29" s="40" t="s">
        <v>461</v>
      </c>
      <c r="D29" s="40" t="s">
        <v>422</v>
      </c>
      <c r="E29" s="41">
        <v>1376004</v>
      </c>
      <c r="F29" s="41">
        <v>44200819</v>
      </c>
      <c r="G29" s="42">
        <v>20</v>
      </c>
    </row>
    <row r="30" spans="1:7" x14ac:dyDescent="0.2">
      <c r="A30" s="43" t="s">
        <v>462</v>
      </c>
      <c r="B30" s="43" t="s">
        <v>463</v>
      </c>
      <c r="C30" s="43" t="s">
        <v>464</v>
      </c>
      <c r="D30" s="43" t="s">
        <v>422</v>
      </c>
      <c r="E30" s="44">
        <v>150122.5</v>
      </c>
      <c r="F30" s="44">
        <v>1779588.34</v>
      </c>
      <c r="G30" s="45">
        <v>10</v>
      </c>
    </row>
    <row r="33" spans="1:1" ht="30" x14ac:dyDescent="0.2">
      <c r="A33" s="49" t="s">
        <v>465</v>
      </c>
    </row>
    <row r="34" spans="1:1" x14ac:dyDescent="0.2">
      <c r="A34" s="48" t="s">
        <v>466</v>
      </c>
    </row>
    <row r="36" spans="1:1" ht="30" x14ac:dyDescent="0.2">
      <c r="A36" s="49" t="s">
        <v>467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Revenue &amp; Expenses</vt:lpstr>
      <vt:lpstr>Personnel Costs</vt:lpstr>
      <vt:lpstr>Demographics</vt:lpstr>
      <vt:lpstr>Financial Position</vt:lpstr>
      <vt:lpstr>Debt &amp; Bonds</vt:lpstr>
      <vt:lpstr>Pensions &amp; OPEB</vt:lpstr>
      <vt:lpstr>Capital Assets</vt:lpstr>
      <vt:lpstr>Recommendations</vt:lpstr>
      <vt:lpstr>Enterprise Funds</vt:lpstr>
      <vt:lpstr>Homeless Programs</vt:lpstr>
      <vt:lpstr>Budget Reductions</vt:lpstr>
      <vt:lpstr>City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Kromer</cp:lastModifiedBy>
  <cp:revision>0</cp:revision>
  <dcterms:created xsi:type="dcterms:W3CDTF">2026-04-08T18:12:55Z</dcterms:created>
  <dcterms:modified xsi:type="dcterms:W3CDTF">2026-04-08T21:51:54Z</dcterms:modified>
  <dc:language>en-US</dc:language>
</cp:coreProperties>
</file>