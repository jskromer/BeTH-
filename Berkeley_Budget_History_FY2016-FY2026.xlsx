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-Funds Actuals" sheetId="2" state="visible" r:id="rId4"/>
    <sheet name="GF Budget vs Actual" sheetId="3" state="visible" r:id="rId5"/>
    <sheet name="Deficit &amp; One-Time Fixes" sheetId="4" state="visible" r:id="rId6"/>
    <sheet name="Sources &amp; Confid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<sst xmlns="http://schemas.openxmlformats.org/spreadsheetml/2006/main" count="154" uniqueCount="136">
  <si>
    <t xml:space="preserve">Berkeley Budget History — FY2016–FY2026</t>
  </si>
  <si>
    <t xml:space="preserve">Time-series compiled for the Berkeley Transparency Hub · June 2026</t>
  </si>
  <si>
    <t xml:space="preserve">What's in this workbook</t>
  </si>
  <si>
    <t xml:space="preserve">All-Funds Actuals</t>
  </si>
  <si>
    <t xml:space="preserve">FY2016–FY2025 governmental-funds revenues, expenditures, and surplus/deficit (nominal $). Source: FY2025 ACFR, Statistical Schedule IV.</t>
  </si>
  <si>
    <t xml:space="preserve">GF Budget vs Actual</t>
  </si>
  <si>
    <t xml:space="preserve">FY2025 General Fund original→final→actual (budgetary basis) — the adopted-vs-actual gap. Source: FY2025 ACFR, p.147. Prior years require each year's ACFR (links on Sources tab).</t>
  </si>
  <si>
    <t xml:space="preserve">Deficit &amp; One-Time Fixes</t>
  </si>
  <si>
    <t xml:space="preserve">Recurring GF deficit closed with one-time money each year (FY2019–FY2026), plus the itemized FY2025 and FY2026 measures. Sources: FY27–28 budget packet; City Auditor; FY2025 ACFR MD&amp;A.</t>
  </si>
  <si>
    <t xml:space="preserve">Sources &amp; Confidence</t>
  </si>
  <si>
    <t xml:space="preserve">Every figure's source and a confidence rating.</t>
  </si>
  <si>
    <t xml:space="preserve">Conventions</t>
  </si>
  <si>
    <t xml:space="preserve">Blue text</t>
  </si>
  <si>
    <t xml:space="preserve">Hard-coded figure taken directly from a source document (see note in last column / Sources tab).</t>
  </si>
  <si>
    <t xml:space="preserve">Black text</t>
  </si>
  <si>
    <t xml:space="preserve">Formula computed within this workbook.</t>
  </si>
  <si>
    <t xml:space="preserve">Negative / deficit</t>
  </si>
  <si>
    <t xml:space="preserve">Shown in (parentheses).</t>
  </si>
  <si>
    <t xml:space="preserve">Key caveat</t>
  </si>
  <si>
    <t xml:space="preserve">'All-Funds' totals (Schedule IV) cover ALL governmental funds, not the General Fund alone — they are not directly comparable to the GF budget-vs-actual figures. GF-only multi-year actuals require pulling each year's ACFR budgetary schedule.</t>
  </si>
  <si>
    <t xml:space="preserve">Governmental Funds — Revenues, Expenditures &amp; Balance</t>
  </si>
  <si>
    <t xml:space="preserve">Nominal $. Source: City of Berkeley FY2025 ACFR, Statistical Schedule IV (Changes in Fund Balances, Last Ten Fiscal Years)</t>
  </si>
  <si>
    <t xml:space="preserve">($, nominal)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</si>
  <si>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</si>
  <si>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</si>
  <si>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</si>
  <si>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</si>
  <si>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</si>
  <si>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</si>
  <si>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</si>
  <si>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</si>
  <si>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</si>
  <si>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</si>
  <si>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Change FY16–25</t>
  </si>
  <si>
    <t xml:space="preserve">Total Revenues</t>
  </si>
  <si>
    <t xml:space="preserve">Total Expenditures</t>
  </si>
  <si>
    <t xml:space="preserve">Surplus / (Deficit)</t>
  </si>
  <si>
    <t xml:space="preserve">EXPENDITURES BY FUNCTION — FY2016 vs FY2025 (nominal $)</t>
  </si>
  <si>
    <t xml:space="preserve">Function</t>
  </si>
  <si>
    <t xml:space="preserve">FY2016</t>
  </si>
  <si>
    <t xml:space="preserve">FY2025</t>
  </si>
  <si>
    <t xml:space="preserve">Change $</t>
  </si>
  <si>
    <t xml:space="preserve">Change %</t>
  </si>
  <si>
    <t xml:space="preserve">General government</t>
  </si>
  <si>
    <t xml:space="preserve">Public safety</t>
  </si>
  <si>
    <t xml:space="preserve">Highways &amp; streets</t>
  </si>
  <si>
    <t xml:space="preserve">Health &amp; welfare</t>
  </si>
  <si>
    <t xml:space="preserve">Culture &amp; recreation</t>
  </si>
  <si>
    <t xml:space="preserve">Community development &amp; housing</t>
  </si>
  <si>
    <t xml:space="preserve">Economic development</t>
  </si>
  <si>
    <t xml:space="preserve">Note: these by-function lines exclude capital outlay and debt service, so they do not sum to Total Expenditures above.</t>
  </si>
  <si>
    <t xml:space="preserve">General Fund — Adopted vs. Actual (FY2025)</t>
  </si>
  <si>
    <t xml:space="preserve">Budgetary basis. Source: City of Berkeley FY2025 ACFR, p.147 (Budgetary Comparison Schedule, General Fund)</t>
  </si>
  <si>
    <t xml:space="preserve">($, budgetary basis)</t>
  </si>
  <si>
    <t xml:space="preserve">Original Budget</t>
  </si>
  <si>
    <t xml:space="preserve">Final Budget</t>
  </si>
  <si>
    <t xml:space="preserve">Actual</t>
  </si>
  <si>
    <t xml:space="preserve">Actual − Original</t>
  </si>
  <si>
    <t xml:space="preserve">Total revenues</t>
  </si>
  <si>
    <t xml:space="preserve">Total expenditures</t>
  </si>
  <si>
    <t xml:space="preserve">Revenues over/(under) expenditures</t>
  </si>
  <si>
    <t xml:space="preserve">Transfers in</t>
  </si>
  <si>
    <t xml:space="preserve">Transfers out</t>
  </si>
  <si>
    <t xml:space="preserve">Sale of capital assets</t>
  </si>
  <si>
    <t xml:space="preserve">Net change in fund balance</t>
  </si>
  <si>
    <t xml:space="preserve">Fund balance, June 30 2025</t>
  </si>
  <si>
    <t xml:space="preserve">The adopted-vs-actual story (FY2025):</t>
  </si>
  <si>
    <t xml:space="preserve">• Original budget projected a +$2.0M surplus; the actual result was a $16.7M draw on fund balance.</t>
  </si>
  <si>
    <t xml:space="preserve">• Original→Final expenditures rose $32.1M (encumbered + unencumbered rollovers and mid-year adjustments) — the carryover/AAO mechanism.</t>
  </si>
  <si>
    <t xml:space="preserve">• Actual transfers out ($39.7M) exceeded the adopted plan ($27.9M) by $11.8M.</t>
  </si>
  <si>
    <t xml:space="preserve">Prior years (FY2016–FY2024): adopted-vs-actual not included — each requires that year's ACFR budgetary schedule (see Sources tab). This gap is itself the 'adopted ≠ actual' transparency problem the Hub flags.</t>
  </si>
  <si>
    <t xml:space="preserve">Recurring GF Deficit Closed With One-Time Money</t>
  </si>
  <si>
    <t xml:space="preserve">Source: FY2027–28 Proposed Budget packet (deficit-history table); FY2025 ACFR MD&amp;A; City Auditor Financial Condition report (2026)</t>
  </si>
  <si>
    <t xml:space="preserve">Fiscal Year</t>
  </si>
  <si>
    <t xml:space="preserve">Deficit closed with one-time money</t>
  </si>
  <si>
    <t xml:space="preserve">Notes / mechanism</t>
  </si>
  <si>
    <t xml:space="preserve">FY2019</t>
  </si>
  <si>
    <t xml:space="preserve">One-time measures (per budget packet deficit-history table)</t>
  </si>
  <si>
    <t xml:space="preserve">FY2021</t>
  </si>
  <si>
    <t xml:space="preserve">Peak; ARPA ($66.6M total FY21–22), reserves, fund balance</t>
  </si>
  <si>
    <t xml:space="preserve">FY2022</t>
  </si>
  <si>
    <t xml:space="preserve">One-time funding sources</t>
  </si>
  <si>
    <t xml:space="preserve">FY2023</t>
  </si>
  <si>
    <t xml:space="preserve">FY2024</t>
  </si>
  <si>
    <t xml:space="preserve">Incl. $4.7M Workers' Comp redirect + $3M Section 115 Trust (City Auditor)</t>
  </si>
  <si>
    <t xml:space="preserve">FY2026</t>
  </si>
  <si>
    <t xml:space="preserve">~$20M internal-fund transfers (see itemized below) + vacancy savings</t>
  </si>
  <si>
    <t xml:space="preserve">FY2027–28 (projected)</t>
  </si>
  <si>
    <t xml:space="preserve">$32–33M / yr</t>
  </si>
  <si>
    <t xml:space="preserve">Structural; FY28 assumes Nov-2026 sales-tax measure passes. $16.5M personnel re-basing; 164 fewer positions.</t>
  </si>
  <si>
    <t xml:space="preserve">ITEMIZED ONE-TIME MEASURES — FY2025 (Auditor) vs FY2026 (ACFR MD&amp;A)</t>
  </si>
  <si>
    <t xml:space="preserve">Measure</t>
  </si>
  <si>
    <t xml:space="preserve">FY2025 ($)</t>
  </si>
  <si>
    <t xml:space="preserve">FY2026 ($)</t>
  </si>
  <si>
    <t xml:space="preserve">Source</t>
  </si>
  <si>
    <t xml:space="preserve">Section 115 Pension Trust → GF</t>
  </si>
  <si>
    <t xml:space="preserve">Auditor (FY25); FY2025 ACFR MD&amp;A (FY26)</t>
  </si>
  <si>
    <t xml:space="preserve">Workers' Compensation Fund → GF</t>
  </si>
  <si>
    <t xml:space="preserve">IT Cost Allocation Fund → GF</t>
  </si>
  <si>
    <t xml:space="preserve">FY2025 ACFR MD&amp;A</t>
  </si>
  <si>
    <t xml:space="preserve">Measure U1 funds applied</t>
  </si>
  <si>
    <t xml:space="preserve">Vacant positions held unfunded</t>
  </si>
  <si>
    <t xml:space="preserve">44.4 positions</t>
  </si>
  <si>
    <t xml:space="preserve">GF positions reallocated to other funds</t>
  </si>
  <si>
    <t xml:space="preserve">11.8 positions</t>
  </si>
  <si>
    <t xml:space="preserve">Cash transfers subtotal</t>
  </si>
  <si>
    <t xml:space="preserve">Dataset</t>
  </si>
  <si>
    <t xml:space="preserve">Confidence</t>
  </si>
  <si>
    <t xml:space="preserve">Link</t>
  </si>
  <si>
    <t xml:space="preserve">All-funds revenues/expenditures FY16–25</t>
  </si>
  <si>
    <t xml:space="preserve">FY2025 ACFR, Statistical Schedule IV</t>
  </si>
  <si>
    <t xml:space="preserve">High</t>
  </si>
  <si>
    <t xml:space="preserve">https://berkeleyca.gov/your-government/financial-information/financial-reports-and-policies</t>
  </si>
  <si>
    <t xml:space="preserve">GF budget vs actual FY2025</t>
  </si>
  <si>
    <t xml:space="preserve">FY2025 ACFR, p.147</t>
  </si>
  <si>
    <t xml:space="preserve">(same ACFR)</t>
  </si>
  <si>
    <t xml:space="preserve">GF budget vs actual FY2016–2024</t>
  </si>
  <si>
    <t xml:space="preserve">Requires each year's ACFR (not yet pulled)</t>
  </si>
  <si>
    <t xml:space="preserve">Gap</t>
  </si>
  <si>
    <t xml:space="preserve">Adopted biennial budgets</t>
  </si>
  <si>
    <t xml:space="preserve">FY18-19, FY20-21, FY22-23 budget books</t>
  </si>
  <si>
    <t xml:space="preserve">High (not yet extracted)</t>
  </si>
  <si>
    <t xml:space="preserve">https://berkeleyca.gov/your-government/financial-information/city-budget</t>
  </si>
  <si>
    <t xml:space="preserve">Deficit history FY19–26</t>
  </si>
  <si>
    <t xml:space="preserve">FY27–28 Proposed Budget packet, deficit-history table</t>
  </si>
  <si>
    <t xml:space="preserve">Moderate</t>
  </si>
  <si>
    <t xml:space="preserve">https://berkeleyca.gov/sites/default/files/legislative-body-meeting-attachments/Item%2002%20Budget&amp;Finance-FY2728%20Budget%20Update__04.16.26%20(3).pdf</t>
  </si>
  <si>
    <t xml:space="preserve">FY2025 one-time measures</t>
  </si>
  <si>
    <t xml:space="preserve">City Auditor, Financial Condition (FY2016–2025), 2026</t>
  </si>
  <si>
    <t xml:space="preserve">https://berkeleyca.gov/your-government/city-audits/city-auditor-reports</t>
  </si>
  <si>
    <t xml:space="preserve">FY2026 one-time measures</t>
  </si>
  <si>
    <t xml:space="preserve">FY2025 ACFR, MD&amp;A</t>
  </si>
  <si>
    <t xml:space="preserve">FY27–28 deficit, $16.5M re-basing, 164 positions</t>
  </si>
  <si>
    <t xml:space="preserve">FY2027–FY2028 Proposed Budget (Item 21 Supp 2)</t>
  </si>
  <si>
    <t xml:space="preserve">ARPA total allocation $66.6M</t>
  </si>
  <si>
    <t xml:space="preserve">FY2025 ACFR / City ARPA reporting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</si>
</sst>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D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E2D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9"/>
      <color rgb="FF8B691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2A7D4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C41E1E"/>
      <name val="Arial"/>
      <family val="0"/>
      <charset val="1"/>
    </font>
    <font>
      <b val="true"/>
      <sz val="10"/>
      <color rgb="FF8B69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D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CFC8"/>
      </left>
      <right style="thin">
        <color rgb="FFD5CFC8"/>
      </right>
      <top style="thin">
        <color rgb="FFD5CFC8"/>
      </top>
      <bottom style="thin">
        <color rgb="FFD5CF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D5CFC8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D4A"/>
      <rgbColor rgb="FF2A7D4F"/>
      <rgbColor rgb="FF003300"/>
      <rgbColor rgb="FF333300"/>
      <rgbColor rgb="FFC41E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9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</row>
    <row r="6" customFormat="false" ht="23.85" hidden="false" customHeight="false" outlineLevel="0" collapsed="false">
      <c r="A6" s="3" t="s">
        <v>3</v>
      </c>
      <c r="B6" s="4" t="s">
        <v>4</v>
      </c>
    </row>
    <row r="7" customFormat="false" ht="23.85" hidden="false" customHeight="false" outlineLevel="0" collapsed="false">
      <c r="A7" s="3" t="s">
        <v>5</v>
      </c>
      <c r="B7" s="4" t="s">
        <v>6</v>
      </c>
    </row>
    <row r="8" customFormat="false" ht="23.8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1" customFormat="false" ht="15" hidden="false" customHeight="false" outlineLevel="0" collapsed="false">
      <c r="A11" s="3" t="s">
        <v>11</v>
      </c>
    </row>
    <row r="12" customFormat="false" ht="15" hidden="false" customHeight="false" outlineLevel="0" collapsed="false">
      <c r="A12" s="3" t="s">
        <v>12</v>
      </c>
      <c r="B12" s="4" t="s">
        <v>13</v>
      </c>
    </row>
    <row r="13" customFormat="false" ht="15" hidden="false" customHeight="false" outlineLevel="0" collapsed="false">
      <c r="A13" s="3" t="s">
        <v>14</v>
      </c>
      <c r="B13" s="4" t="s">
        <v>15</v>
      </c>
    </row>
    <row r="14" customFormat="false" ht="15" hidden="false" customHeight="false" outlineLevel="0" collapsed="false">
      <c r="A14" s="3" t="s">
        <v>16</v>
      </c>
      <c r="B14" s="4" t="s">
        <v>17</v>
      </c>
    </row>
    <row r="16" customFormat="false" ht="35.05" hidden="false" customHeight="false" outlineLevel="0" collapsed="false">
      <c r="A16" s="3" t="s">
        <v>18</v>
      </c>
      <c r="B16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3"/>
    <col collapsed="false" customWidth="true" hidden="false" outlineLevel="0" max="12" min="12" style="0" width="14"/>
  </cols>
  <sheetData>
    <row r="1" customFormat="false" ht="19.5" hidden="false" customHeight="tru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27.75" hidden="false" customHeight="true" outlineLevel="0" collapsed="false">
      <c r="A4" s="5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</row>
    <row r="5" customFormat="false" ht="15" hidden="false" customHeight="false" outlineLevel="0" collapsed="false">
      <c r="A5" s="7" t="s">
        <v>34</v>
      </c>
      <c r="B5" s="8" t="n">
        <v>262907887</v>
      </c>
      <c r="C5" s="8" t="n">
        <v>276397831</v>
      </c>
      <c r="D5" s="8" t="n">
        <v>298565916</v>
      </c>
      <c r="E5" s="8" t="n">
        <v>334471702</v>
      </c>
      <c r="F5" s="8" t="n">
        <v>332725990</v>
      </c>
      <c r="G5" s="8" t="n">
        <v>347466900</v>
      </c>
      <c r="H5" s="8" t="n">
        <v>445856943</v>
      </c>
      <c r="I5" s="8" t="n">
        <v>451986361</v>
      </c>
      <c r="J5" s="8" t="n">
        <v>454840176</v>
      </c>
      <c r="K5" s="8" t="n">
        <v>480033183</v>
      </c>
      <c r="L5" s="9" t="n">
        <f aca="false">(K5-B5)/B5</f>
        <v>0.825860716761228</v>
      </c>
    </row>
    <row r="6" customFormat="false" ht="15" hidden="false" customHeight="false" outlineLevel="0" collapsed="false">
      <c r="A6" s="7" t="s">
        <v>35</v>
      </c>
      <c r="B6" s="8" t="n">
        <v>238355071</v>
      </c>
      <c r="C6" s="8" t="n">
        <v>271413708</v>
      </c>
      <c r="D6" s="8" t="n">
        <v>270316050</v>
      </c>
      <c r="E6" s="8" t="n">
        <v>287457378</v>
      </c>
      <c r="F6" s="8" t="n">
        <v>340331816</v>
      </c>
      <c r="G6" s="8" t="n">
        <v>356982726</v>
      </c>
      <c r="H6" s="8" t="n">
        <v>371964609</v>
      </c>
      <c r="I6" s="8" t="n">
        <v>377316334</v>
      </c>
      <c r="J6" s="8" t="n">
        <v>426391788</v>
      </c>
      <c r="K6" s="8" t="n">
        <v>487575829</v>
      </c>
      <c r="L6" s="9" t="n">
        <f aca="false">(K6-B6)/B6</f>
        <v>1.04558613733039</v>
      </c>
    </row>
    <row r="7" customFormat="false" ht="15" hidden="false" customHeight="false" outlineLevel="0" collapsed="false">
      <c r="A7" s="7" t="s">
        <v>36</v>
      </c>
      <c r="B7" s="10" t="n">
        <f aca="false">B5-B6</f>
        <v>24552816</v>
      </c>
      <c r="C7" s="10" t="n">
        <f aca="false">C5-C6</f>
        <v>4984123</v>
      </c>
      <c r="D7" s="10" t="n">
        <f aca="false">D5-D6</f>
        <v>28249866</v>
      </c>
      <c r="E7" s="10" t="n">
        <f aca="false">E5-E6</f>
        <v>47014324</v>
      </c>
      <c r="F7" s="10" t="n">
        <f aca="false">F5-F6</f>
        <v>-7605826</v>
      </c>
      <c r="G7" s="10" t="n">
        <f aca="false">G5-G6</f>
        <v>-9515826</v>
      </c>
      <c r="H7" s="10" t="n">
        <f aca="false">H5-H6</f>
        <v>73892334</v>
      </c>
      <c r="I7" s="10" t="n">
        <f aca="false">I5-I6</f>
        <v>74670027</v>
      </c>
      <c r="J7" s="10" t="n">
        <f aca="false">J5-J6</f>
        <v>28448388</v>
      </c>
      <c r="K7" s="10" t="n">
        <f aca="false">K5-K6</f>
        <v>-7542646</v>
      </c>
      <c r="L7" s="11"/>
    </row>
    <row r="10" customFormat="false" ht="15" hidden="false" customHeight="false" outlineLevel="0" collapsed="false">
      <c r="A10" s="3" t="s">
        <v>37</v>
      </c>
    </row>
    <row r="11" customFormat="false" ht="27.75" hidden="false" customHeight="true" outlineLevel="0" collapsed="false">
      <c r="A11" s="5" t="s">
        <v>38</v>
      </c>
      <c r="B11" s="6" t="s">
        <v>39</v>
      </c>
      <c r="C11" s="6" t="s">
        <v>40</v>
      </c>
      <c r="D11" s="6" t="s">
        <v>41</v>
      </c>
      <c r="E11" s="6" t="s">
        <v>42</v>
      </c>
    </row>
    <row r="12" customFormat="false" ht="15" hidden="false" customHeight="false" outlineLevel="0" collapsed="false">
      <c r="A12" s="12" t="s">
        <v>43</v>
      </c>
      <c r="B12" s="8" t="n">
        <v>29742445</v>
      </c>
      <c r="C12" s="8" t="n">
        <v>53722756</v>
      </c>
      <c r="D12" s="13" t="n">
        <f aca="false">C12-B12</f>
        <v>23980311</v>
      </c>
      <c r="E12" s="9" t="n">
        <f aca="false">(C12-B12)/B12</f>
        <v>0.806265624766222</v>
      </c>
    </row>
    <row r="13" customFormat="false" ht="15" hidden="false" customHeight="false" outlineLevel="0" collapsed="false">
      <c r="A13" s="12" t="s">
        <v>44</v>
      </c>
      <c r="B13" s="8" t="n">
        <v>98101003</v>
      </c>
      <c r="C13" s="8" t="n">
        <v>171259870</v>
      </c>
      <c r="D13" s="13" t="n">
        <f aca="false">C13-B13</f>
        <v>73158867</v>
      </c>
      <c r="E13" s="9" t="n">
        <f aca="false">(C13-B13)/B13</f>
        <v>0.745750448647299</v>
      </c>
    </row>
    <row r="14" customFormat="false" ht="15" hidden="false" customHeight="false" outlineLevel="0" collapsed="false">
      <c r="A14" s="12" t="s">
        <v>45</v>
      </c>
      <c r="B14" s="8" t="n">
        <v>12762905</v>
      </c>
      <c r="C14" s="8" t="n">
        <v>16622894</v>
      </c>
      <c r="D14" s="13" t="n">
        <f aca="false">C14-B14</f>
        <v>3859989</v>
      </c>
      <c r="E14" s="9" t="n">
        <f aca="false">(C14-B14)/B14</f>
        <v>0.302438120474923</v>
      </c>
    </row>
    <row r="15" customFormat="false" ht="15" hidden="false" customHeight="false" outlineLevel="0" collapsed="false">
      <c r="A15" s="12" t="s">
        <v>46</v>
      </c>
      <c r="B15" s="8" t="n">
        <v>21140809</v>
      </c>
      <c r="C15" s="8" t="n">
        <v>51093171</v>
      </c>
      <c r="D15" s="13" t="n">
        <f aca="false">C15-B15</f>
        <v>29952362</v>
      </c>
      <c r="E15" s="9" t="n">
        <f aca="false">(C15-B15)/B15</f>
        <v>1.41680301827617</v>
      </c>
    </row>
    <row r="16" customFormat="false" ht="15" hidden="false" customHeight="false" outlineLevel="0" collapsed="false">
      <c r="A16" s="12" t="s">
        <v>47</v>
      </c>
      <c r="B16" s="8" t="n">
        <v>34226586</v>
      </c>
      <c r="C16" s="8" t="n">
        <v>62391420</v>
      </c>
      <c r="D16" s="13" t="n">
        <f aca="false">C16-B16</f>
        <v>28164834</v>
      </c>
      <c r="E16" s="9" t="n">
        <f aca="false">(C16-B16)/B16</f>
        <v>0.822893466499989</v>
      </c>
    </row>
    <row r="17" customFormat="false" ht="15" hidden="false" customHeight="false" outlineLevel="0" collapsed="false">
      <c r="A17" s="12" t="s">
        <v>48</v>
      </c>
      <c r="B17" s="8" t="n">
        <v>16626123</v>
      </c>
      <c r="C17" s="8" t="n">
        <v>46328738</v>
      </c>
      <c r="D17" s="13" t="n">
        <f aca="false">C17-B17</f>
        <v>29702615</v>
      </c>
      <c r="E17" s="9" t="n">
        <f aca="false">(C17-B17)/B17</f>
        <v>1.78650278239852</v>
      </c>
    </row>
    <row r="18" customFormat="false" ht="15" hidden="false" customHeight="false" outlineLevel="0" collapsed="false">
      <c r="A18" s="12" t="s">
        <v>49</v>
      </c>
      <c r="B18" s="8" t="n">
        <v>4252971</v>
      </c>
      <c r="C18" s="8" t="n">
        <v>5358777</v>
      </c>
      <c r="D18" s="13" t="n">
        <f aca="false">C18-B18</f>
        <v>1105806</v>
      </c>
      <c r="E18" s="9" t="n">
        <f aca="false">(C18-B18)/B18</f>
        <v>0.260007886251752</v>
      </c>
    </row>
    <row r="19" customFormat="false" ht="15" hidden="false" customHeight="false" outlineLevel="0" collapsed="false">
      <c r="A19" s="1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7"/>
  </cols>
  <sheetData>
    <row r="1" customFormat="false" ht="19.5" hidden="false" customHeight="tru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27.75" hidden="false" customHeight="true" outlineLevel="0" collapsed="false">
      <c r="A4" s="5" t="s">
        <v>53</v>
      </c>
      <c r="B4" s="6" t="s">
        <v>54</v>
      </c>
      <c r="C4" s="6" t="s">
        <v>55</v>
      </c>
      <c r="D4" s="6" t="s">
        <v>56</v>
      </c>
      <c r="E4" s="6" t="s">
        <v>57</v>
      </c>
    </row>
    <row r="5" customFormat="false" ht="15" hidden="false" customHeight="false" outlineLevel="0" collapsed="false">
      <c r="A5" s="15" t="s">
        <v>58</v>
      </c>
      <c r="B5" s="8" t="n">
        <v>262183260</v>
      </c>
      <c r="C5" s="8" t="n">
        <v>269658080</v>
      </c>
      <c r="D5" s="8" t="n">
        <v>275393236</v>
      </c>
      <c r="E5" s="13" t="n">
        <f aca="false">D5-B5</f>
        <v>13209976</v>
      </c>
    </row>
    <row r="6" customFormat="false" ht="15" hidden="false" customHeight="false" outlineLevel="0" collapsed="false">
      <c r="A6" s="15" t="s">
        <v>59</v>
      </c>
      <c r="B6" s="8" t="n">
        <v>236454456</v>
      </c>
      <c r="C6" s="8" t="n">
        <v>264245697</v>
      </c>
      <c r="D6" s="8" t="n">
        <v>261384997</v>
      </c>
      <c r="E6" s="13" t="n">
        <f aca="false">D6-B6</f>
        <v>24930541</v>
      </c>
    </row>
    <row r="7" customFormat="false" ht="15" hidden="false" customHeight="false" outlineLevel="0" collapsed="false">
      <c r="A7" s="7" t="s">
        <v>60</v>
      </c>
      <c r="B7" s="10" t="n">
        <f aca="false">B5-B6</f>
        <v>25728804</v>
      </c>
      <c r="C7" s="10" t="n">
        <f aca="false">C5-C6</f>
        <v>5412383</v>
      </c>
      <c r="D7" s="10" t="n">
        <f aca="false">D5-D6</f>
        <v>14008239</v>
      </c>
      <c r="E7" s="13" t="n">
        <f aca="false">D7-B7</f>
        <v>-11720565</v>
      </c>
    </row>
    <row r="8" customFormat="false" ht="15" hidden="false" customHeight="false" outlineLevel="0" collapsed="false">
      <c r="A8" s="15" t="s">
        <v>61</v>
      </c>
      <c r="B8" s="8" t="n">
        <v>4181923</v>
      </c>
      <c r="C8" s="8" t="n">
        <v>8974480</v>
      </c>
      <c r="D8" s="8" t="n">
        <v>8974480</v>
      </c>
      <c r="E8" s="13" t="n">
        <f aca="false">D8-B8</f>
        <v>4792557</v>
      </c>
    </row>
    <row r="9" customFormat="false" ht="15" hidden="false" customHeight="false" outlineLevel="0" collapsed="false">
      <c r="A9" s="15" t="s">
        <v>62</v>
      </c>
      <c r="B9" s="8" t="n">
        <v>-27897676</v>
      </c>
      <c r="C9" s="8" t="n">
        <v>-32207404</v>
      </c>
      <c r="D9" s="8" t="n">
        <v>-39679126</v>
      </c>
      <c r="E9" s="13" t="n">
        <f aca="false">D9-B9</f>
        <v>-11781450</v>
      </c>
    </row>
    <row r="10" customFormat="false" ht="15" hidden="false" customHeight="false" outlineLevel="0" collapsed="false">
      <c r="A10" s="15" t="s">
        <v>63</v>
      </c>
      <c r="B10" s="8" t="n">
        <v>0</v>
      </c>
      <c r="C10" s="8" t="n">
        <v>0</v>
      </c>
      <c r="D10" s="8" t="n">
        <v>13125</v>
      </c>
      <c r="E10" s="13" t="n">
        <f aca="false">D10-B10</f>
        <v>13125</v>
      </c>
    </row>
    <row r="11" customFormat="false" ht="15" hidden="false" customHeight="false" outlineLevel="0" collapsed="false">
      <c r="A11" s="7" t="s">
        <v>64</v>
      </c>
      <c r="B11" s="10" t="n">
        <f aca="false">B7+B8+B9+B10</f>
        <v>2013051</v>
      </c>
      <c r="C11" s="10" t="n">
        <f aca="false">C7+C8+C9+C10</f>
        <v>-17820541</v>
      </c>
      <c r="D11" s="10" t="n">
        <f aca="false">D7+D8+D9+D10</f>
        <v>-16683282</v>
      </c>
      <c r="E11" s="13" t="n">
        <f aca="false">D11-B11</f>
        <v>-18696333</v>
      </c>
    </row>
    <row r="12" customFormat="false" ht="15" hidden="false" customHeight="false" outlineLevel="0" collapsed="false">
      <c r="A12" s="7" t="s">
        <v>65</v>
      </c>
      <c r="B12" s="8" t="n">
        <v>110692221</v>
      </c>
      <c r="C12" s="8" t="n">
        <v>90858629</v>
      </c>
      <c r="D12" s="8" t="n">
        <v>91995888</v>
      </c>
      <c r="E12" s="13" t="n">
        <f aca="false">D12-B12</f>
        <v>-18696333</v>
      </c>
    </row>
    <row r="14" customFormat="false" ht="15" hidden="false" customHeight="false" outlineLevel="0" collapsed="false">
      <c r="A14" s="3" t="s">
        <v>66</v>
      </c>
    </row>
    <row r="15" customFormat="false" ht="22.35" hidden="false" customHeight="false" outlineLevel="0" collapsed="false">
      <c r="A15" s="16" t="s">
        <v>67</v>
      </c>
    </row>
    <row r="16" customFormat="false" ht="32.8" hidden="false" customHeight="false" outlineLevel="0" collapsed="false">
      <c r="A16" s="16" t="s">
        <v>68</v>
      </c>
    </row>
    <row r="17" customFormat="false" ht="22.35" hidden="false" customHeight="false" outlineLevel="0" collapsed="false">
      <c r="A17" s="16" t="s">
        <v>69</v>
      </c>
    </row>
    <row r="19" customFormat="false" ht="22.35" hidden="false" customHeight="true" outlineLevel="0" collapsed="false">
      <c r="A19" s="17" t="s">
        <v>70</v>
      </c>
      <c r="B19" s="17"/>
      <c r="C19" s="17"/>
      <c r="D19" s="17"/>
      <c r="E19" s="17"/>
    </row>
  </sheetData>
  <mergeCells count="1"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42"/>
  </cols>
  <sheetData>
    <row r="1" customFormat="false" ht="19.5" hidden="false" customHeight="tru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27.75" hidden="false" customHeight="true" outlineLevel="0" collapsed="false">
      <c r="A4" s="5" t="s">
        <v>73</v>
      </c>
      <c r="B4" s="6" t="s">
        <v>74</v>
      </c>
      <c r="C4" s="6" t="s">
        <v>75</v>
      </c>
    </row>
    <row r="5" customFormat="false" ht="32.8" hidden="false" customHeight="false" outlineLevel="0" collapsed="false">
      <c r="A5" s="18" t="s">
        <v>76</v>
      </c>
      <c r="B5" s="8" t="n">
        <v>10000000</v>
      </c>
      <c r="C5" s="19" t="s">
        <v>77</v>
      </c>
    </row>
    <row r="6" customFormat="false" ht="43.25" hidden="false" customHeight="false" outlineLevel="0" collapsed="false">
      <c r="A6" s="18" t="s">
        <v>78</v>
      </c>
      <c r="B6" s="8" t="n">
        <v>40000000</v>
      </c>
      <c r="C6" s="19" t="s">
        <v>79</v>
      </c>
    </row>
    <row r="7" customFormat="false" ht="22.35" hidden="false" customHeight="false" outlineLevel="0" collapsed="false">
      <c r="A7" s="18" t="s">
        <v>80</v>
      </c>
      <c r="B7" s="8" t="n">
        <v>27000000</v>
      </c>
      <c r="C7" s="19" t="s">
        <v>81</v>
      </c>
    </row>
    <row r="8" customFormat="false" ht="22.35" hidden="false" customHeight="false" outlineLevel="0" collapsed="false">
      <c r="A8" s="18" t="s">
        <v>82</v>
      </c>
      <c r="B8" s="8" t="n">
        <v>22000000</v>
      </c>
      <c r="C8" s="19" t="s">
        <v>81</v>
      </c>
    </row>
    <row r="9" customFormat="false" ht="22.35" hidden="false" customHeight="false" outlineLevel="0" collapsed="false">
      <c r="A9" s="18" t="s">
        <v>83</v>
      </c>
      <c r="B9" s="8" t="n">
        <v>12000000</v>
      </c>
      <c r="C9" s="19" t="s">
        <v>81</v>
      </c>
    </row>
    <row r="10" customFormat="false" ht="43.25" hidden="false" customHeight="false" outlineLevel="0" collapsed="false">
      <c r="A10" s="18" t="s">
        <v>40</v>
      </c>
      <c r="B10" s="8" t="n">
        <v>17000000</v>
      </c>
      <c r="C10" s="19" t="s">
        <v>84</v>
      </c>
    </row>
    <row r="11" customFormat="false" ht="43.25" hidden="false" customHeight="false" outlineLevel="0" collapsed="false">
      <c r="A11" s="18" t="s">
        <v>85</v>
      </c>
      <c r="B11" s="8" t="n">
        <v>29000000</v>
      </c>
      <c r="C11" s="19" t="s">
        <v>86</v>
      </c>
    </row>
    <row r="12" customFormat="false" ht="64.15" hidden="false" customHeight="false" outlineLevel="0" collapsed="false">
      <c r="A12" s="18" t="s">
        <v>87</v>
      </c>
      <c r="B12" s="20" t="s">
        <v>88</v>
      </c>
      <c r="C12" s="19" t="s">
        <v>89</v>
      </c>
    </row>
    <row r="15" customFormat="false" ht="15" hidden="false" customHeight="false" outlineLevel="0" collapsed="false">
      <c r="A15" s="3" t="s">
        <v>90</v>
      </c>
    </row>
    <row r="16" customFormat="false" ht="27.75" hidden="false" customHeight="true" outlineLevel="0" collapsed="false">
      <c r="A16" s="5" t="s">
        <v>91</v>
      </c>
      <c r="B16" s="6" t="s">
        <v>92</v>
      </c>
      <c r="C16" s="6" t="s">
        <v>93</v>
      </c>
      <c r="D16" s="6" t="s">
        <v>94</v>
      </c>
    </row>
    <row r="17" customFormat="false" ht="15" hidden="false" customHeight="false" outlineLevel="0" collapsed="false">
      <c r="A17" s="12" t="s">
        <v>95</v>
      </c>
      <c r="B17" s="8" t="n">
        <v>3000000</v>
      </c>
      <c r="C17" s="8" t="n">
        <v>6000000</v>
      </c>
      <c r="D17" s="19" t="s">
        <v>96</v>
      </c>
    </row>
    <row r="18" customFormat="false" ht="15" hidden="false" customHeight="false" outlineLevel="0" collapsed="false">
      <c r="A18" s="12" t="s">
        <v>97</v>
      </c>
      <c r="B18" s="8" t="n">
        <v>4700000</v>
      </c>
      <c r="C18" s="8" t="n">
        <v>5200000</v>
      </c>
      <c r="D18" s="19" t="s">
        <v>96</v>
      </c>
    </row>
    <row r="19" customFormat="false" ht="15" hidden="false" customHeight="false" outlineLevel="0" collapsed="false">
      <c r="A19" s="12" t="s">
        <v>98</v>
      </c>
      <c r="B19" s="20"/>
      <c r="C19" s="8" t="n">
        <v>6200000</v>
      </c>
      <c r="D19" s="19" t="s">
        <v>99</v>
      </c>
    </row>
    <row r="20" customFormat="false" ht="15" hidden="false" customHeight="false" outlineLevel="0" collapsed="false">
      <c r="A20" s="12" t="s">
        <v>100</v>
      </c>
      <c r="B20" s="20"/>
      <c r="C20" s="8" t="n">
        <v>2500000</v>
      </c>
      <c r="D20" s="19" t="s">
        <v>99</v>
      </c>
    </row>
    <row r="21" customFormat="false" ht="15" hidden="false" customHeight="false" outlineLevel="0" collapsed="false">
      <c r="A21" s="12" t="s">
        <v>101</v>
      </c>
      <c r="B21" s="20" t="s">
        <v>102</v>
      </c>
      <c r="C21" s="20" t="s">
        <v>102</v>
      </c>
      <c r="D21" s="19" t="s">
        <v>99</v>
      </c>
    </row>
    <row r="22" customFormat="false" ht="15" hidden="false" customHeight="false" outlineLevel="0" collapsed="false">
      <c r="A22" s="12" t="s">
        <v>103</v>
      </c>
      <c r="B22" s="20"/>
      <c r="C22" s="20" t="s">
        <v>104</v>
      </c>
      <c r="D22" s="19" t="s">
        <v>99</v>
      </c>
    </row>
    <row r="23" customFormat="false" ht="15" hidden="false" customHeight="false" outlineLevel="0" collapsed="false">
      <c r="A23" s="18" t="s">
        <v>105</v>
      </c>
      <c r="B23" s="10" t="n">
        <f aca="false">SUM(B17:B18)</f>
        <v>7700000</v>
      </c>
      <c r="C23" s="10" t="n">
        <f aca="false">SUM(C17:C20)</f>
        <v>19900000</v>
      </c>
      <c r="D2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19.5" hidden="false" customHeight="true" outlineLevel="0" collapsed="false">
      <c r="A1" s="1" t="s">
        <v>9</v>
      </c>
    </row>
    <row r="2" customFormat="false" ht="15" hidden="false" customHeight="false" outlineLevel="0" collapsed="false">
      <c r="A2" s="2"/>
    </row>
    <row r="4" customFormat="false" ht="27.75" hidden="false" customHeight="true" outlineLevel="0" collapsed="false">
      <c r="A4" s="5" t="s">
        <v>106</v>
      </c>
      <c r="B4" s="6" t="s">
        <v>94</v>
      </c>
      <c r="C4" s="6" t="s">
        <v>107</v>
      </c>
      <c r="D4" s="6" t="s">
        <v>108</v>
      </c>
    </row>
    <row r="5" customFormat="false" ht="22.35" hidden="false" customHeight="false" outlineLevel="0" collapsed="false">
      <c r="A5" s="21" t="s">
        <v>109</v>
      </c>
      <c r="B5" s="21" t="s">
        <v>110</v>
      </c>
      <c r="C5" s="22" t="s">
        <v>111</v>
      </c>
      <c r="D5" s="23" t="s">
        <v>112</v>
      </c>
    </row>
    <row r="6" customFormat="false" ht="15" hidden="false" customHeight="false" outlineLevel="0" collapsed="false">
      <c r="A6" s="21" t="s">
        <v>113</v>
      </c>
      <c r="B6" s="21" t="s">
        <v>114</v>
      </c>
      <c r="C6" s="22" t="s">
        <v>111</v>
      </c>
      <c r="D6" s="23" t="s">
        <v>115</v>
      </c>
    </row>
    <row r="7" customFormat="false" ht="22.35" hidden="false" customHeight="false" outlineLevel="0" collapsed="false">
      <c r="A7" s="21" t="s">
        <v>116</v>
      </c>
      <c r="B7" s="21" t="s">
        <v>117</v>
      </c>
      <c r="C7" s="24" t="s">
        <v>118</v>
      </c>
      <c r="D7" s="23" t="s">
        <v>112</v>
      </c>
    </row>
    <row r="8" customFormat="false" ht="15" hidden="false" customHeight="false" outlineLevel="0" collapsed="false">
      <c r="A8" s="21" t="s">
        <v>119</v>
      </c>
      <c r="B8" s="21" t="s">
        <v>120</v>
      </c>
      <c r="C8" s="25" t="s">
        <v>121</v>
      </c>
      <c r="D8" s="23" t="s">
        <v>122</v>
      </c>
    </row>
    <row r="9" customFormat="false" ht="32.8" hidden="false" customHeight="false" outlineLevel="0" collapsed="false">
      <c r="A9" s="21" t="s">
        <v>123</v>
      </c>
      <c r="B9" s="21" t="s">
        <v>124</v>
      </c>
      <c r="C9" s="25" t="s">
        <v>125</v>
      </c>
      <c r="D9" s="23" t="s">
        <v>126</v>
      </c>
    </row>
    <row r="10" customFormat="false" ht="23.85" hidden="false" customHeight="false" outlineLevel="0" collapsed="false">
      <c r="A10" s="21" t="s">
        <v>127</v>
      </c>
      <c r="B10" s="21" t="s">
        <v>128</v>
      </c>
      <c r="C10" s="22" t="s">
        <v>111</v>
      </c>
      <c r="D10" s="23" t="s">
        <v>129</v>
      </c>
    </row>
    <row r="11" customFormat="false" ht="15" hidden="false" customHeight="false" outlineLevel="0" collapsed="false">
      <c r="A11" s="21" t="s">
        <v>130</v>
      </c>
      <c r="B11" s="21" t="s">
        <v>131</v>
      </c>
      <c r="C11" s="22" t="s">
        <v>111</v>
      </c>
      <c r="D11" s="23" t="s">
        <v>115</v>
      </c>
    </row>
    <row r="12" customFormat="false" ht="23.85" hidden="false" customHeight="false" outlineLevel="0" collapsed="false">
      <c r="A12" s="21" t="s">
        <v>132</v>
      </c>
      <c r="B12" s="21" t="s">
        <v>133</v>
      </c>
      <c r="C12" s="22" t="s">
        <v>111</v>
      </c>
      <c r="D12" s="23" t="s">
        <v>122</v>
      </c>
    </row>
    <row r="13" customFormat="false" ht="15" hidden="false" customHeight="false" outlineLevel="0" collapsed="false">
      <c r="A13" s="21" t="s">
        <v>134</v>
      </c>
      <c r="B13" s="21" t="s">
        <v>135</v>
      </c>
      <c r="C13" s="25" t="s">
        <v>125</v>
      </c>
      <c r="D13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2026-06-10T20:11:47Z</dcterms:created>
  <dc:creator>openpyxl</dc:creator>
  <dc:description/>
  <dc:language>en-US</dc:language>
  <cp:lastModifiedBy/>
  <dcterms:modified xsi:type="dcterms:W3CDTF">2026-06-10T20:11:47Z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