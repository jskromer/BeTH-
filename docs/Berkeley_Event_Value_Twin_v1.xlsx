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Dashboard" sheetId="1" state="visible" r:id="rId3"/>
    <sheet name="Controls" sheetId="2" state="visible" r:id="rId4"/>
    <sheet name="Visitor Economics" sheetId="3" state="visible" r:id="rId5"/>
    <sheet name="City Fiscal" sheetId="4" state="visible" r:id="rId6"/>
    <sheet name="Mobility &amp; Emissions" sheetId="5" state="visible" r:id="rId7"/>
    <sheet name="Public Value" sheetId="6" state="visible" r:id="rId8"/>
    <sheet name="Monte Carlo" sheetId="7" state="visible" r:id="rId9"/>
    <sheet name="Evidence Register" sheetId="8" state="visible" r:id="rId10"/>
    <sheet name="Data Requests" sheetId="9" state="visible" r:id="rId11"/>
    <sheet name="README" sheetId="10" state="visible" r:id="rId12"/>
  </sheets>
  <definedNames>
    <definedName function="false" hidden="true" localSheetId="8" name="_xlnm._FilterDatabase" vbProcedure="false">'Data Requests'!$A$1:$H$14</definedName>
    <definedName function="false" hidden="true" localSheetId="7" name="_xlnm._FilterDatabase" vbProcedure="false">'Evidence Register'!$A$1:$I$16</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OpenAI</author>
  </authors>
  <commentList>
    <comment ref="B13" authorId="0">
      <text>
        <r>
          <rPr>
            <sz val="10"/>
            <rFont val="Arial"/>
            <family val="2"/>
          </rPr>
          <t xml:space="preserve">Attendee spending design reference: https://www.americansforthearts.org/by-program/reports-and-data/research-studies-publications/arts-economic-prosperity-6 and https://www.nps.gov/subjects/socialscience/vse.htm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-88</xdr:colOff>
                <xdr:row>2</xdr:row>
                <xdr:rowOff>7</xdr:rowOff>
              </xdr:to>
            </anchor>
          </commentPr>
        </mc:Choice>
        <mc:Fallback/>
      </mc:AlternateContent>
    </comment>
    <comment ref="B21" authorId="0">
      <text>
        <r>
          <rPr>
            <sz val="10"/>
            <rFont val="Arial"/>
            <family val="2"/>
          </rPr>
          <t xml:space="preserve">Methodology should align with Berkeley Creative Economy study: https://berkeleyca.gov/sites/default/files/documents/Berkeley-Creative-Economy-Impact-Report.pdf
Cross-check with BEA RIMS II: https://www.bea.gov/resources/methodologies/RIMSII-user-guide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-88</xdr:colOff>
                <xdr:row>2</xdr:row>
                <xdr:rowOff>7</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OpenAI</author>
  </authors>
  <commentList>
    <comment ref="B13" authorId="0">
      <text>
        <r>
          <rPr>
            <sz val="10"/>
            <rFont val="Arial"/>
            <family val="2"/>
          </rPr>
          <t xml:space="preserve">Replace with reconstructed marginal cost from City records. Do not treat allocated fixed cost as automatically avoidable. Records portal: https://berkeleyca.gov/your-government/public-records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-88</xdr:colOff>
                <xdr:row>2</xdr:row>
                <xdr:rowOff>7</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OpenAI</author>
  </authors>
  <commentList>
    <comment ref="B14" authorId="0">
      <text>
        <r>
          <rPr>
            <sz val="10"/>
            <rFont val="Arial"/>
            <family val="2"/>
          </rPr>
          <t xml:space="preserve">Berkeley waterfront parking and TDM reference: https://berkeleyca.gov/sites/default/files/documents/Berkeley-WTPF-Parking-and-TDM-Plan-March-2025-Public-Draft.pdf
Planned special event method reference: https://highways.dot.gov/media/87306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-88</xdr:colOff>
                <xdr:row>2</xdr:row>
                <xdr:rowOff>7</xdr:rowOff>
              </xdr:to>
            </anchor>
          </commentPr>
        </mc:Choice>
        <mc:Fallback/>
      </mc:AlternateContent>
    </comment>
  </commentList>
</comments>
</file>

<file path=xl/sharedStrings.xml><?xml version="1.0" encoding="utf-8"?>
<sst xmlns="http://schemas.openxmlformats.org/spreadsheetml/2006/main" count="470" uniqueCount="358">
  <si>
    <t xml:space="preserve">Berkeley Event Value Twin</t>
  </si>
  <si>
    <t xml:space="preserve">Kite Festival prototype — complete value, not only permit cost. Select scenario on Controls sheet.</t>
  </si>
  <si>
    <t xml:space="preserve">Active scenario</t>
  </si>
  <si>
    <t xml:space="preserve">City net fiscal impact</t>
  </si>
  <si>
    <t xml:space="preserve">Net direct local spending</t>
  </si>
  <si>
    <t xml:space="preserve">Total economic output</t>
  </si>
  <si>
    <t xml:space="preserve">Realized attendance</t>
  </si>
  <si>
    <t xml:space="preserve">Vehicle arrivals</t>
  </si>
  <si>
    <t xml:space="preserve">Transportation emissions</t>
  </si>
  <si>
    <t xml:space="preserve">City cost recovery</t>
  </si>
  <si>
    <t xml:space="preserve">Public-value score</t>
  </si>
  <si>
    <t xml:space="preserve">Parking surplus / (shortfall)</t>
  </si>
  <si>
    <t xml:space="preserve">Interpretation</t>
  </si>
  <si>
    <t xml:space="preserve">Metric</t>
  </si>
  <si>
    <t xml:space="preserve">Value</t>
  </si>
  <si>
    <t xml:space="preserve">City revenue</t>
  </si>
  <si>
    <t xml:space="preserve">City cost</t>
  </si>
  <si>
    <t xml:space="preserve">Net direct spending</t>
  </si>
  <si>
    <t xml:space="preserve">Total output</t>
  </si>
  <si>
    <t xml:space="preserve">Uncertainty summary</t>
  </si>
  <si>
    <t xml:space="preserve">Expected fiscal impact</t>
  </si>
  <si>
    <t xml:space="preserve">P10 fiscal impact</t>
  </si>
  <si>
    <t xml:space="preserve">Median fiscal impact</t>
  </si>
  <si>
    <t xml:space="preserve">P90 fiscal impact</t>
  </si>
  <si>
    <t xml:space="preserve">Probability of break-even</t>
  </si>
  <si>
    <t xml:space="preserve">Berkeley Event Value Twin — Controls</t>
  </si>
  <si>
    <t xml:space="preserve">Blue cells are editable. Values in v1 are illustrative placeholders until Berkeley records and survey data are loaded.</t>
  </si>
  <si>
    <t xml:space="preserve">Scenario selection</t>
  </si>
  <si>
    <t xml:space="preserve">Central</t>
  </si>
  <si>
    <t xml:space="preserve">Choose Conservative, Central, or High</t>
  </si>
  <si>
    <t xml:space="preserve">Assumption</t>
  </si>
  <si>
    <t xml:space="preserve">Conservative</t>
  </si>
  <si>
    <t xml:space="preserve">High</t>
  </si>
  <si>
    <t xml:space="preserve">Unit</t>
  </si>
  <si>
    <t xml:space="preserve">Status / source</t>
  </si>
  <si>
    <t xml:space="preserve">Total attendance</t>
  </si>
  <si>
    <t xml:space="preserve">people</t>
  </si>
  <si>
    <t xml:space="preserve">Illustrative; replace with event counts</t>
  </si>
  <si>
    <t xml:space="preserve">Berkeley resident share</t>
  </si>
  <si>
    <t xml:space="preserve">%</t>
  </si>
  <si>
    <t xml:space="preserve">Survey / ZIP code</t>
  </si>
  <si>
    <t xml:space="preserve">Festival-attributed share: nonresidents</t>
  </si>
  <si>
    <t xml:space="preserve">Intercept survey</t>
  </si>
  <si>
    <t xml:space="preserve">Festival-attributed share: residents</t>
  </si>
  <si>
    <t xml:space="preserve">Avg Berkeley spend: resident attendee</t>
  </si>
  <si>
    <t xml:space="preserve">$/person</t>
  </si>
  <si>
    <t xml:space="preserve">Avg Berkeley spend: nonresident day visitor</t>
  </si>
  <si>
    <t xml:space="preserve">Overnight visitor share of nonresidents</t>
  </si>
  <si>
    <t xml:space="preserve">Avg incremental lodging spend</t>
  </si>
  <si>
    <t xml:space="preserve">$/room-night</t>
  </si>
  <si>
    <t xml:space="preserve">Survey / hotel data</t>
  </si>
  <si>
    <t xml:space="preserve">People per hotel room</t>
  </si>
  <si>
    <t xml:space="preserve">Survey</t>
  </si>
  <si>
    <t xml:space="preserve">Local capture of attendee spending</t>
  </si>
  <si>
    <t xml:space="preserve">Location of expenditure</t>
  </si>
  <si>
    <t xml:space="preserve">Economic output multiplier</t>
  </si>
  <si>
    <t xml:space="preserve">x</t>
  </si>
  <si>
    <t xml:space="preserve">IMPLAN; RIMS II cross-check</t>
  </si>
  <si>
    <t xml:space="preserve">Value-added share of total output</t>
  </si>
  <si>
    <t xml:space="preserve">IMPLAN sector results</t>
  </si>
  <si>
    <t xml:space="preserve">Labor-income share of total output</t>
  </si>
  <si>
    <t xml:space="preserve">Sales-tax effective rate</t>
  </si>
  <si>
    <t xml:space="preserve">% of taxable sales</t>
  </si>
  <si>
    <t xml:space="preserve">Replace with City fiscal estimate</t>
  </si>
  <si>
    <t xml:space="preserve">Taxable share of incremental spending</t>
  </si>
  <si>
    <t xml:space="preserve">Spending category mix</t>
  </si>
  <si>
    <t xml:space="preserve">City service cost</t>
  </si>
  <si>
    <t xml:space="preserve">$</t>
  </si>
  <si>
    <t xml:space="preserve">Illustrative; reconstruct marginal cost</t>
  </si>
  <si>
    <t xml:space="preserve">Permit and organizer fees paid to City</t>
  </si>
  <si>
    <t xml:space="preserve">Illustrative</t>
  </si>
  <si>
    <t xml:space="preserve">Parking price per vehicle</t>
  </si>
  <si>
    <t xml:space="preserve">Scenario policy</t>
  </si>
  <si>
    <t xml:space="preserve">Parking revenue retained by City</t>
  </si>
  <si>
    <t xml:space="preserve">Contract / fund allocation</t>
  </si>
  <si>
    <t xml:space="preserve">Auto mode share</t>
  </si>
  <si>
    <t xml:space="preserve">Mobility survey</t>
  </si>
  <si>
    <t xml:space="preserve">Average vehicle occupancy</t>
  </si>
  <si>
    <t xml:space="preserve">people/vehicle</t>
  </si>
  <si>
    <t xml:space="preserve">Average round-trip miles</t>
  </si>
  <si>
    <t xml:space="preserve">miles/vehicle</t>
  </si>
  <si>
    <t xml:space="preserve">Origin model</t>
  </si>
  <si>
    <t xml:space="preserve">Transit mode share</t>
  </si>
  <si>
    <t xml:space="preserve">Bike/walk mode share</t>
  </si>
  <si>
    <t xml:space="preserve">Vehicle emissions factor</t>
  </si>
  <si>
    <t xml:space="preserve">metric tons CO2e/mile</t>
  </si>
  <si>
    <t xml:space="preserve">Fleet assumption</t>
  </si>
  <si>
    <t xml:space="preserve">Waste per attendee</t>
  </si>
  <si>
    <t xml:space="preserve">lb/person</t>
  </si>
  <si>
    <t xml:space="preserve">Event waste audit</t>
  </si>
  <si>
    <t xml:space="preserve">Waste diversion rate</t>
  </si>
  <si>
    <t xml:space="preserve">Event operations</t>
  </si>
  <si>
    <t xml:space="preserve">Weather realization factor</t>
  </si>
  <si>
    <t xml:space="preserve">% of planned attendance</t>
  </si>
  <si>
    <t xml:space="preserve">Weather risk</t>
  </si>
  <si>
    <t xml:space="preserve">Displaced local spending</t>
  </si>
  <si>
    <t xml:space="preserve">Nearby business / visitor survey</t>
  </si>
  <si>
    <t xml:space="preserve">Active scenario values (formula-driven)</t>
  </si>
  <si>
    <t xml:space="preserve">Active value</t>
  </si>
  <si>
    <t xml:space="preserve">Visitor Economics</t>
  </si>
  <si>
    <t xml:space="preserve">Incremental spending only: attribution, local capture, lodging, displacement, and multiplier effects.</t>
  </si>
  <si>
    <t xml:space="preserve">Attendance segmentation</t>
  </si>
  <si>
    <t xml:space="preserve">Planned attendance × weather realization</t>
  </si>
  <si>
    <t xml:space="preserve">Berkeley residents</t>
  </si>
  <si>
    <t xml:space="preserve">Non-Berkeley attendees</t>
  </si>
  <si>
    <t xml:space="preserve">Incremental resident attendees</t>
  </si>
  <si>
    <t xml:space="preserve">Incremental nonresident attendees</t>
  </si>
  <si>
    <t xml:space="preserve">Overnight visitors</t>
  </si>
  <si>
    <t xml:space="preserve">Direct incremental spending</t>
  </si>
  <si>
    <t xml:space="preserve">Resident attendee spending</t>
  </si>
  <si>
    <t xml:space="preserve">Nonresident day-visitor spending</t>
  </si>
  <si>
    <t xml:space="preserve">Incremental lodging spending</t>
  </si>
  <si>
    <t xml:space="preserve">Gross direct incremental spending</t>
  </si>
  <si>
    <t xml:space="preserve">Less displaced local spending</t>
  </si>
  <si>
    <t xml:space="preserve">Net direct incremental spending</t>
  </si>
  <si>
    <t xml:space="preserve">Regional economic effects</t>
  </si>
  <si>
    <t xml:space="preserve">Value added</t>
  </si>
  <si>
    <t xml:space="preserve">Labor income</t>
  </si>
  <si>
    <t xml:space="preserve">Indirect + induced output</t>
  </si>
  <si>
    <t xml:space="preserve">Fiscal bridge</t>
  </si>
  <si>
    <t xml:space="preserve">Estimated taxable incremental sales</t>
  </si>
  <si>
    <t xml:space="preserve">Estimated City sales-tax revenue</t>
  </si>
  <si>
    <t xml:space="preserve">City Fiscal Impact</t>
  </si>
  <si>
    <t xml:space="preserve">Separates true incremental cash cost from allocated accounting cost and compares City revenues.</t>
  </si>
  <si>
    <t xml:space="preserve">City revenues</t>
  </si>
  <si>
    <t xml:space="preserve">Permit and organizer fees</t>
  </si>
  <si>
    <t xml:space="preserve">Estimated sales-tax revenue</t>
  </si>
  <si>
    <t xml:space="preserve">Parking vehicles</t>
  </si>
  <si>
    <t xml:space="preserve">Gross parking revenue</t>
  </si>
  <si>
    <t xml:space="preserve">City-retained parking revenue</t>
  </si>
  <si>
    <t xml:space="preserve">Total City revenue</t>
  </si>
  <si>
    <t xml:space="preserve">City costs</t>
  </si>
  <si>
    <t xml:space="preserve">Incremental City service cost</t>
  </si>
  <si>
    <t xml:space="preserve">Police / traffic</t>
  </si>
  <si>
    <t xml:space="preserve">Fire / EMS</t>
  </si>
  <si>
    <t xml:space="preserve">Public Works / sanitation</t>
  </si>
  <si>
    <t xml:space="preserve">Parks / Marina staff</t>
  </si>
  <si>
    <t xml:space="preserve">Temporary facilities / contracts</t>
  </si>
  <si>
    <t xml:space="preserve">Administration / permitting</t>
  </si>
  <si>
    <t xml:space="preserve">Allocation check</t>
  </si>
  <si>
    <t xml:space="preserve">Net fiscal result</t>
  </si>
  <si>
    <t xml:space="preserve">Net City fiscal impact</t>
  </si>
  <si>
    <t xml:space="preserve">Positive = surplus; negative = subsidy</t>
  </si>
  <si>
    <t xml:space="preserve">City subsidy per attendee</t>
  </si>
  <si>
    <t xml:space="preserve">City cost recovery ratio</t>
  </si>
  <si>
    <t xml:space="preserve">Mobility &amp; Emissions</t>
  </si>
  <si>
    <t xml:space="preserve">Event travel, parking pressure, transportation emissions, and solid waste.</t>
  </si>
  <si>
    <t xml:space="preserve">Travel demand</t>
  </si>
  <si>
    <t xml:space="preserve">Auto travelers</t>
  </si>
  <si>
    <t xml:space="preserve">Transit travelers</t>
  </si>
  <si>
    <t xml:space="preserve">Bike/walk travelers</t>
  </si>
  <si>
    <t xml:space="preserve">Other / unallocated travelers</t>
  </si>
  <si>
    <t xml:space="preserve">Parking and roadway indicators</t>
  </si>
  <si>
    <t xml:space="preserve">Usable event parking supply</t>
  </si>
  <si>
    <t xml:space="preserve">spaces</t>
  </si>
  <si>
    <t xml:space="preserve">Illustrative; replace with current inventory</t>
  </si>
  <si>
    <t xml:space="preserve">Peak parking demand</t>
  </si>
  <si>
    <t xml:space="preserve">Illustrative 72% peak overlap</t>
  </si>
  <si>
    <t xml:space="preserve">Parking utilization</t>
  </si>
  <si>
    <t xml:space="preserve">Emissions and waste</t>
  </si>
  <si>
    <t xml:space="preserve">Vehicle miles traveled</t>
  </si>
  <si>
    <t xml:space="preserve">metric tons CO2e</t>
  </si>
  <si>
    <t xml:space="preserve">Total event waste</t>
  </si>
  <si>
    <t xml:space="preserve">short tons</t>
  </si>
  <si>
    <t xml:space="preserve">Landfilled waste</t>
  </si>
  <si>
    <t xml:space="preserve">Diverted waste</t>
  </si>
  <si>
    <t xml:space="preserve">Public Value Scorecard</t>
  </si>
  <si>
    <t xml:space="preserve">Nonmarket benefits remain visible as measured outcomes instead of being forced into unsupported dollar values.</t>
  </si>
  <si>
    <t xml:space="preserve">Weighted scorecard</t>
  </si>
  <si>
    <t xml:space="preserve">Outcome</t>
  </si>
  <si>
    <t xml:space="preserve">Weight</t>
  </si>
  <si>
    <t xml:space="preserve">Score (0–100)</t>
  </si>
  <si>
    <t xml:space="preserve">Weighted score</t>
  </si>
  <si>
    <t xml:space="preserve">Evidence status</t>
  </si>
  <si>
    <t xml:space="preserve">Measurement instrument</t>
  </si>
  <si>
    <t xml:space="preserve">Free family recreation</t>
  </si>
  <si>
    <t xml:space="preserve">Attendee survey / observation</t>
  </si>
  <si>
    <t xml:space="preserve">Accessibility and inclusion</t>
  </si>
  <si>
    <t xml:space="preserve">Accessibility audit + survey</t>
  </si>
  <si>
    <t xml:space="preserve">Youth engagement</t>
  </si>
  <si>
    <t xml:space="preserve">Program counts + survey</t>
  </si>
  <si>
    <t xml:space="preserve">Berkeley identity / visibility</t>
  </si>
  <si>
    <t xml:space="preserve">Media analytics + resident survey</t>
  </si>
  <si>
    <t xml:space="preserve">Waterfront activation</t>
  </si>
  <si>
    <t xml:space="preserve">Footfall / dwell time</t>
  </si>
  <si>
    <t xml:space="preserve">Local nonprofit/vendor exposure</t>
  </si>
  <si>
    <t xml:space="preserve">Vendor follow-up survey</t>
  </si>
  <si>
    <t xml:space="preserve">Resident satisfaction</t>
  </si>
  <si>
    <t xml:space="preserve">Representative resident survey</t>
  </si>
  <si>
    <t xml:space="preserve">Environmental stewardship</t>
  </si>
  <si>
    <t xml:space="preserve">Waste / habitat / travel indicators</t>
  </si>
  <si>
    <t xml:space="preserve">Total / composite score</t>
  </si>
  <si>
    <t xml:space="preserve">Distributional checks</t>
  </si>
  <si>
    <t xml:space="preserve">Share of attendees from Berkeley</t>
  </si>
  <si>
    <t xml:space="preserve">Target / survey</t>
  </si>
  <si>
    <t xml:space="preserve">Share using non-auto modes</t>
  </si>
  <si>
    <t xml:space="preserve">Fiscal model</t>
  </si>
  <si>
    <t xml:space="preserve">Free admission</t>
  </si>
  <si>
    <t xml:space="preserve">Event design</t>
  </si>
  <si>
    <t xml:space="preserve">Parking shortfall</t>
  </si>
  <si>
    <t xml:space="preserve">Mobility model</t>
  </si>
  <si>
    <t xml:space="preserve">Monte Carlo Uncertainty</t>
  </si>
  <si>
    <t xml:space="preserve">1,000 fixed probability draws. Rebuild draws when assumptions change materially; no volatile RAND formulas are used.</t>
  </si>
  <si>
    <t xml:space="preserve">Trial</t>
  </si>
  <si>
    <t xml:space="preserve">Attendance factor</t>
  </si>
  <si>
    <t xml:space="preserve">Attribution factor</t>
  </si>
  <si>
    <t xml:space="preserve">Spend factor</t>
  </si>
  <si>
    <t xml:space="preserve">Cost factor</t>
  </si>
  <si>
    <t xml:space="preserve">Auto-share factor</t>
  </si>
  <si>
    <t xml:space="preserve">Net fiscal impact</t>
  </si>
  <si>
    <t xml:space="preserve">CO2e (t)</t>
  </si>
  <si>
    <t xml:space="preserve">Distribution summary</t>
  </si>
  <si>
    <t xml:space="preserve">Expected net fiscal impact</t>
  </si>
  <si>
    <t xml:space="preserve">P10 net fiscal impact</t>
  </si>
  <si>
    <t xml:space="preserve">Median net fiscal impact</t>
  </si>
  <si>
    <t xml:space="preserve">P90 net fiscal impact</t>
  </si>
  <si>
    <t xml:space="preserve">Probability of fiscal break-even</t>
  </si>
  <si>
    <t xml:space="preserve">Expected total economic output</t>
  </si>
  <si>
    <t xml:space="preserve">Expected transportation emissions</t>
  </si>
  <si>
    <t xml:space="preserve">Evidence Register</t>
  </si>
  <si>
    <t xml:space="preserve">Tracks whether each material input is observed, modeled, stipulated, or still missing.</t>
  </si>
  <si>
    <t xml:space="preserve">Domain</t>
  </si>
  <si>
    <t xml:space="preserve">Input / evidence</t>
  </si>
  <si>
    <t xml:space="preserve">Status</t>
  </si>
  <si>
    <t xml:space="preserve">Confidence</t>
  </si>
  <si>
    <t xml:space="preserve">As-of date</t>
  </si>
  <si>
    <t xml:space="preserve">Source / custodian</t>
  </si>
  <si>
    <t xml:space="preserve">URL or record request</t>
  </si>
  <si>
    <t xml:space="preserve">Model owner</t>
  </si>
  <si>
    <t xml:space="preserve">Update rule</t>
  </si>
  <si>
    <t xml:space="preserve">Attendance</t>
  </si>
  <si>
    <t xml:space="preserve">2017–2019 hourly/daily attendance</t>
  </si>
  <si>
    <t xml:space="preserve">Missing</t>
  </si>
  <si>
    <t xml:space="preserve">Low</t>
  </si>
  <si>
    <t xml:space="preserve">Organizer / City special events</t>
  </si>
  <si>
    <t xml:space="preserve">Replace scenario range</t>
  </si>
  <si>
    <t xml:space="preserve">Fiscal</t>
  </si>
  <si>
    <t xml:space="preserve">Police and traffic marginal cost</t>
  </si>
  <si>
    <t xml:space="preserve">Berkeley Police / Finance</t>
  </si>
  <si>
    <t xml:space="preserve">https://berkeleyca.gov/your-government/public-records</t>
  </si>
  <si>
    <t xml:space="preserve">Reconstruct overtime and contracts</t>
  </si>
  <si>
    <t xml:space="preserve">Fire/EMS marginal cost</t>
  </si>
  <si>
    <t xml:space="preserve">Berkeley Fire / Finance</t>
  </si>
  <si>
    <t xml:space="preserve">Reconstruct event-specific cost</t>
  </si>
  <si>
    <t xml:space="preserve">Marina/Parks staffing and sanitation</t>
  </si>
  <si>
    <t xml:space="preserve">Parks, Recreation &amp; Waterfront</t>
  </si>
  <si>
    <t xml:space="preserve">Separate fixed from incremental</t>
  </si>
  <si>
    <t xml:space="preserve">Economy</t>
  </si>
  <si>
    <t xml:space="preserve">Creative Economy impact methodology</t>
  </si>
  <si>
    <t xml:space="preserve">Available</t>
  </si>
  <si>
    <t xml:space="preserve">2025</t>
  </si>
  <si>
    <t xml:space="preserve">City of Berkeley</t>
  </si>
  <si>
    <t xml:space="preserve">https://berkeleyca.gov/sites/default/files/documents/Berkeley-Creative-Economy-Impact-Report.pdf</t>
  </si>
  <si>
    <t xml:space="preserve">Use consistent geography and outputs</t>
  </si>
  <si>
    <t xml:space="preserve">Attendee spending by origin</t>
  </si>
  <si>
    <t xml:space="preserve">Future intercept survey</t>
  </si>
  <si>
    <t xml:space="preserve">https://www.americansforthearts.org/by-program/reports-and-data/research-studies-publications/arts-economic-prosperity-6</t>
  </si>
  <si>
    <t xml:space="preserve">Survey every pilot event</t>
  </si>
  <si>
    <t xml:space="preserve">Regional multiplier set</t>
  </si>
  <si>
    <t xml:space="preserve">Modeled</t>
  </si>
  <si>
    <t xml:space="preserve">Medium</t>
  </si>
  <si>
    <t xml:space="preserve">IMPLAN + BEA RIMS II</t>
  </si>
  <si>
    <t xml:space="preserve">https://www.bea.gov/resources/methodologies/RIMSII-user-guide</t>
  </si>
  <si>
    <t xml:space="preserve">Refresh to analysis year</t>
  </si>
  <si>
    <t xml:space="preserve">Mobility</t>
  </si>
  <si>
    <t xml:space="preserve">Waterfront parking/TDM framework</t>
  </si>
  <si>
    <t xml:space="preserve">https://berkeleyca.gov/sites/default/files/documents/Berkeley-WTPF-Parking-and-TDM-Plan-March-2025-Public-Draft.pdf</t>
  </si>
  <si>
    <t xml:space="preserve">Update when plan changes</t>
  </si>
  <si>
    <t xml:space="preserve">Actual event mode share and occupancy</t>
  </si>
  <si>
    <t xml:space="preserve">Future mobility survey</t>
  </si>
  <si>
    <t xml:space="preserve">https://highways.dot.gov/media/87306</t>
  </si>
  <si>
    <t xml:space="preserve">Survey and counts</t>
  </si>
  <si>
    <t xml:space="preserve">Environment</t>
  </si>
  <si>
    <t xml:space="preserve">Event waste and diversion</t>
  </si>
  <si>
    <t xml:space="preserve">Event operator / Zero Waste</t>
  </si>
  <si>
    <t xml:space="preserve">Weigh or audit loads</t>
  </si>
  <si>
    <t xml:space="preserve">Community</t>
  </si>
  <si>
    <t xml:space="preserve">Resident and attendee public-value measures</t>
  </si>
  <si>
    <t xml:space="preserve">Representative survey</t>
  </si>
  <si>
    <t xml:space="preserve">Pre/post or event survey</t>
  </si>
  <si>
    <t xml:space="preserve">Geospatial</t>
  </si>
  <si>
    <t xml:space="preserve">Open Data assets and boundaries</t>
  </si>
  <si>
    <t xml:space="preserve">https://berkeleyca.gov/your-government/public-records/open-data-portal</t>
  </si>
  <si>
    <t xml:space="preserve">Refresh annually</t>
  </si>
  <si>
    <t xml:space="preserve">Data Acquisition Plan</t>
  </si>
  <si>
    <t xml:space="preserve">Records and measurements needed to replace illustrative assumptions with Berkeley-specific evidence.</t>
  </si>
  <si>
    <t xml:space="preserve">Priority</t>
  </si>
  <si>
    <t xml:space="preserve">Request / measurement</t>
  </si>
  <si>
    <t xml:space="preserve">Custodian</t>
  </si>
  <si>
    <t xml:space="preserve">Historical period</t>
  </si>
  <si>
    <t xml:space="preserve">Format</t>
  </si>
  <si>
    <t xml:space="preserve">Reason</t>
  </si>
  <si>
    <t xml:space="preserve">Minimum fields</t>
  </si>
  <si>
    <t xml:space="preserve">1</t>
  </si>
  <si>
    <t xml:space="preserve">Event invoices, permits, and organizer payments</t>
  </si>
  <si>
    <t xml:space="preserve">Finance / PRW</t>
  </si>
  <si>
    <t xml:space="preserve">2017–2019</t>
  </si>
  <si>
    <t xml:space="preserve">CSV/PDF</t>
  </si>
  <si>
    <t xml:space="preserve">Reconstruct City fiscal ledger</t>
  </si>
  <si>
    <t xml:space="preserve">date, account, description, amount, payer/payee</t>
  </si>
  <si>
    <t xml:space="preserve">Not started</t>
  </si>
  <si>
    <t xml:space="preserve">Event-specific staff hours and overtime</t>
  </si>
  <si>
    <t xml:space="preserve">Police, Fire, Public Works, PRW</t>
  </si>
  <si>
    <t xml:space="preserve">CSV</t>
  </si>
  <si>
    <t xml:space="preserve">Estimate marginal service cost</t>
  </si>
  <si>
    <t xml:space="preserve">department, employee class, regular/overtime hours, rate</t>
  </si>
  <si>
    <t xml:space="preserve">Attendance estimates and methodology</t>
  </si>
  <si>
    <t xml:space="preserve">Organizer / City</t>
  </si>
  <si>
    <t xml:space="preserve">Anchor historical event scale</t>
  </si>
  <si>
    <t xml:space="preserve">date, hour, gate/zone, method, estimate</t>
  </si>
  <si>
    <t xml:space="preserve">Vendor, sponsor, and organizer budgets</t>
  </si>
  <si>
    <t xml:space="preserve">Organizer</t>
  </si>
  <si>
    <t xml:space="preserve">Map event money flows</t>
  </si>
  <si>
    <t xml:space="preserve">category, local/nonlocal, amount</t>
  </si>
  <si>
    <t xml:space="preserve">2</t>
  </si>
  <si>
    <t xml:space="preserve">Parking counts, traffic plans, transit operations</t>
  </si>
  <si>
    <t xml:space="preserve">Transportation / AC Transit</t>
  </si>
  <si>
    <t xml:space="preserve">Calibrate mobility model</t>
  </si>
  <si>
    <t xml:space="preserve">facility, time, capacity, occupancy, service</t>
  </si>
  <si>
    <t xml:space="preserve">Nearby sales indicators or anonymized tax aggregates</t>
  </si>
  <si>
    <t xml:space="preserve">Finance / economic development</t>
  </si>
  <si>
    <t xml:space="preserve">Comparison weekends</t>
  </si>
  <si>
    <t xml:space="preserve">Aggregated CSV</t>
  </si>
  <si>
    <t xml:space="preserve">Estimate net local effects</t>
  </si>
  <si>
    <t xml:space="preserve">district, sector, period, taxable sales</t>
  </si>
  <si>
    <t xml:space="preserve">Waste tonnage and cleanup records</t>
  </si>
  <si>
    <t xml:space="preserve">Public Works / operator</t>
  </si>
  <si>
    <t xml:space="preserve">Environmental impact</t>
  </si>
  <si>
    <t xml:space="preserve">stream, weight, cost, date</t>
  </si>
  <si>
    <t xml:space="preserve">3</t>
  </si>
  <si>
    <t xml:space="preserve">Media reach and public sentiment</t>
  </si>
  <si>
    <t xml:space="preserve">Civic visibility and value</t>
  </si>
  <si>
    <t xml:space="preserve">channel, reach, geography, sentiment</t>
  </si>
  <si>
    <t xml:space="preserve">Pilot</t>
  </si>
  <si>
    <t xml:space="preserve">Attendee intercept survey</t>
  </si>
  <si>
    <t xml:space="preserve">Independent survey team</t>
  </si>
  <si>
    <t xml:space="preserve">Future event</t>
  </si>
  <si>
    <t xml:space="preserve">Survey data</t>
  </si>
  <si>
    <t xml:space="preserve">Incrementality and spending</t>
  </si>
  <si>
    <t xml:space="preserve">ZIP, party size, trip purpose, spending, mode</t>
  </si>
  <si>
    <t xml:space="preserve">Design needed</t>
  </si>
  <si>
    <t xml:space="preserve">Resident comparison survey</t>
  </si>
  <si>
    <t xml:space="preserve">Before/after pilot</t>
  </si>
  <si>
    <t xml:space="preserve">Distribution and public value</t>
  </si>
  <si>
    <t xml:space="preserve">residency, use, support, burden, WTP optional</t>
  </si>
  <si>
    <t xml:space="preserve">Model Guide</t>
  </si>
  <si>
    <t xml:space="preserve">Version 1.0 — working prototype for a Berkeley Kite Festival / civic-event counterfactual assessment.</t>
  </si>
  <si>
    <t xml:space="preserve">Purpose</t>
  </si>
  <si>
    <t xml:space="preserve">This workbook compares a festival scenario with a no-event counterfactual across City finances, local economics, mobility, emissions, and public value. It is a decision model—not evidence that the event should or should not return.</t>
  </si>
  <si>
    <t xml:space="preserve">How to use</t>
  </si>
  <si>
    <t xml:space="preserve">1. Select Conservative, Central, or High on Controls!B5. 2. Replace blue illustrative assumptions with observed Berkeley data. 3. Review Dashboard and component sheets. 4. Use Evidence Register and Data Requests to document gaps. 5. Rebuild the fixed Monte Carlo draws if uncertainty structures change materially.</t>
  </si>
  <si>
    <t xml:space="preserve">Economic output is not City revenue. City fiscal impact is not total public value. Gross attendee spending is reduced by attribution, local capture, and displacement before multipliers are applied.</t>
  </si>
  <si>
    <t xml:space="preserve">Color conventions</t>
  </si>
  <si>
    <t xml:space="preserve">Blue text = editable input; green text = linked from another sheet; black = formula; gray = static label; orange = missing/review item; purple = scenario control; teal = key result.</t>
  </si>
  <si>
    <t xml:space="preserve">Model limitations</t>
  </si>
  <si>
    <t xml:space="preserve">All event-specific numerical assumptions in v1 are illustrative unless replaced and documented. The model does not yet include anonymized card transactions, mobile-location data, a full traffic microsimulation, habitat valuation, or a statistically representative resident survey.</t>
  </si>
  <si>
    <t xml:space="preserve">Recommended next step</t>
  </si>
  <si>
    <t xml:space="preserve">Reconstruct 2017–2019 City and organizer accounts, then design a one-day pilot with an intercept survey, parking/traffic counts, waste measurement, and pre-specified adjustment procedures.</t>
  </si>
</sst>
</file>

<file path=xl/styles.xml><?xml version="1.0" encoding="utf-8"?>
<styleSheet xmlns="http://schemas.openxmlformats.org/spreadsheetml/2006/main">
  <numFmts count="8">
    <numFmt numFmtId="164" formatCode="General"/>
    <numFmt numFmtId="165" formatCode="\$#,##0;[RED]&quot;($&quot;#,##0\);\-"/>
    <numFmt numFmtId="166" formatCode="#,##0;[RED]\(#,##0\);\-"/>
    <numFmt numFmtId="167" formatCode="0.0"/>
    <numFmt numFmtId="168" formatCode="0.0%"/>
    <numFmt numFmtId="169" formatCode="0.00\x"/>
    <numFmt numFmtId="170" formatCode="0"/>
    <numFmt numFmtId="171" formatCode="0.000"/>
  </numFmts>
  <fonts count="20">
    <font>
      <sz val="11"/>
      <color theme="1"/>
      <name val="Calibri"/>
      <family val="2"/>
      <charset val="1"/>
    </font>
    <font>
      <sz val="10"/>
      <name val="Arial"/>
      <family val="0"/>
    </font>
    <font>
      <sz val="10"/>
      <name val="Arial"/>
      <family val="0"/>
    </font>
    <font>
      <sz val="10"/>
      <name val="Arial"/>
      <family val="0"/>
    </font>
    <font>
      <b val="true"/>
      <sz val="16"/>
      <color rgb="FFFFFFFF"/>
      <name val="Cambria"/>
      <family val="0"/>
      <charset val="1"/>
    </font>
    <font>
      <i val="true"/>
      <sz val="10"/>
      <color rgb="FF666666"/>
      <name val="Cambria"/>
      <family val="0"/>
      <charset val="1"/>
    </font>
    <font>
      <b val="true"/>
      <sz val="11"/>
      <color rgb="FFFFFFFF"/>
      <name val="Cambria"/>
      <family val="0"/>
      <charset val="1"/>
    </font>
    <font>
      <b val="true"/>
      <sz val="11"/>
      <name val="Cambria"/>
      <family val="0"/>
      <charset val="1"/>
    </font>
    <font>
      <b val="true"/>
      <sz val="18"/>
      <name val="Cambria"/>
      <family val="0"/>
      <charset val="1"/>
    </font>
    <font>
      <sz val="11"/>
      <name val="Cambria"/>
      <family val="0"/>
      <charset val="1"/>
    </font>
    <font>
      <sz val="11"/>
      <color rgb="FF666666"/>
      <name val="Cambria"/>
      <family val="0"/>
      <charset val="1"/>
    </font>
    <font>
      <sz val="11"/>
      <color rgb="FF008000"/>
      <name val="Cambria"/>
      <family val="0"/>
      <charset val="1"/>
    </font>
    <font>
      <b val="true"/>
      <sz val="18"/>
      <color rgb="FF000000"/>
      <name val="Calibri"/>
      <family val="2"/>
    </font>
    <font>
      <sz val="10"/>
      <color rgb="FF000000"/>
      <name val="Calibri"/>
      <family val="2"/>
    </font>
    <font>
      <b val="true"/>
      <sz val="10"/>
      <color rgb="FF000000"/>
      <name val="Calibri"/>
      <family val="2"/>
    </font>
    <font>
      <sz val="11"/>
      <color rgb="FF0000FF"/>
      <name val="Cambria"/>
      <family val="0"/>
      <charset val="1"/>
    </font>
    <font>
      <i val="true"/>
      <sz val="9"/>
      <color rgb="FF666666"/>
      <name val="Cambria"/>
      <family val="0"/>
      <charset val="1"/>
    </font>
    <font>
      <sz val="11"/>
      <color rgb="FF000000"/>
      <name val="Cambria"/>
      <family val="0"/>
      <charset val="1"/>
    </font>
    <font>
      <sz val="10"/>
      <name val="Arial"/>
      <family val="2"/>
    </font>
    <font>
      <sz val="12"/>
      <color theme="10"/>
      <name val="Calibri"/>
      <family val="2"/>
      <charset val="1"/>
    </font>
  </fonts>
  <fills count="9">
    <fill>
      <patternFill patternType="none"/>
    </fill>
    <fill>
      <patternFill patternType="gray125"/>
    </fill>
    <fill>
      <patternFill patternType="solid">
        <fgColor rgb="FF17365D"/>
        <bgColor rgb="FF333333"/>
      </patternFill>
    </fill>
    <fill>
      <patternFill patternType="solid">
        <fgColor rgb="FFE4DFEC"/>
        <bgColor rgb="FFE7E6E6"/>
      </patternFill>
    </fill>
    <fill>
      <patternFill patternType="solid">
        <fgColor rgb="FFDDEBF7"/>
        <bgColor rgb="FFE7E6E6"/>
      </patternFill>
    </fill>
    <fill>
      <patternFill patternType="solid">
        <fgColor rgb="FFFCE4D6"/>
        <bgColor rgb="FFE7E6E6"/>
      </patternFill>
    </fill>
    <fill>
      <patternFill patternType="solid">
        <fgColor rgb="FFFFF9E6"/>
        <bgColor rgb="FFF9F9F9"/>
      </patternFill>
    </fill>
    <fill>
      <patternFill patternType="solid">
        <fgColor rgb="FFE2F0D9"/>
        <bgColor rgb="FFE7E6E6"/>
      </patternFill>
    </fill>
    <fill>
      <patternFill patternType="solid">
        <fgColor rgb="FFE7E6E6"/>
        <bgColor rgb="FFE4DFEC"/>
      </patternFill>
    </fill>
  </fills>
  <borders count="2">
    <border diagonalUp="false" diagonalDown="false">
      <left/>
      <right/>
      <top/>
      <bottom/>
      <diagonal/>
    </border>
    <border diagonalUp="false" diagonalDown="false">
      <left/>
      <right/>
      <top style="medium">
        <color rgb="FF17365D"/>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bottom" textRotation="0" wrapText="false" indent="0" shrinkToFit="false"/>
      <protection locked="true" hidden="false"/>
    </xf>
    <xf numFmtId="165" fontId="8" fillId="4" borderId="0" xfId="0" applyFont="true" applyBorder="true" applyAlignment="true" applyProtection="false">
      <alignment horizontal="center" vertical="center" textRotation="0" wrapText="false" indent="0" shrinkToFit="false"/>
      <protection locked="true" hidden="false"/>
    </xf>
    <xf numFmtId="166" fontId="8" fillId="4" borderId="0" xfId="0" applyFont="true" applyBorder="true" applyAlignment="true" applyProtection="false">
      <alignment horizontal="center" vertical="center" textRotation="0" wrapText="false" indent="0" shrinkToFit="false"/>
      <protection locked="true" hidden="false"/>
    </xf>
    <xf numFmtId="167" fontId="8" fillId="4" borderId="0" xfId="0" applyFont="true" applyBorder="true" applyAlignment="true" applyProtection="false">
      <alignment horizontal="center" vertical="center" textRotation="0" wrapText="false" indent="0" shrinkToFit="false"/>
      <protection locked="true" hidden="false"/>
    </xf>
    <xf numFmtId="168" fontId="8" fillId="4"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left" vertical="bottom" textRotation="0" wrapText="false" indent="0" shrinkToFit="false"/>
      <protection locked="true" hidden="false"/>
    </xf>
    <xf numFmtId="164" fontId="9" fillId="5" borderId="0" xfId="0" applyFont="true" applyBorder="true" applyAlignment="true" applyProtection="false">
      <alignment horizontal="general" vertical="center" textRotation="0" wrapText="tru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true" indent="0" shrinkToFit="false"/>
      <protection locked="true" hidden="false"/>
    </xf>
    <xf numFmtId="166" fontId="15" fillId="6" borderId="0" xfId="0" applyFont="true" applyBorder="false" applyAlignment="true" applyProtection="false">
      <alignment horizontal="general" vertical="bottom" textRotation="0" wrapText="false" indent="0" shrinkToFit="false"/>
      <protection locked="true" hidden="false"/>
    </xf>
    <xf numFmtId="168" fontId="15" fillId="6" borderId="0" xfId="0" applyFont="true" applyBorder="false" applyAlignment="true" applyProtection="false">
      <alignment horizontal="general" vertical="bottom" textRotation="0" wrapText="false" indent="0" shrinkToFit="false"/>
      <protection locked="true" hidden="false"/>
    </xf>
    <xf numFmtId="165" fontId="15" fillId="6" borderId="0" xfId="0" applyFont="true" applyBorder="false" applyAlignment="true" applyProtection="false">
      <alignment horizontal="general" vertical="bottom" textRotation="0" wrapText="false" indent="0" shrinkToFit="false"/>
      <protection locked="true" hidden="false"/>
    </xf>
    <xf numFmtId="167" fontId="15" fillId="6" borderId="0" xfId="0" applyFont="true" applyBorder="false" applyAlignment="true" applyProtection="false">
      <alignment horizontal="general" vertical="bottom" textRotation="0" wrapText="false" indent="0" shrinkToFit="false"/>
      <protection locked="true" hidden="false"/>
    </xf>
    <xf numFmtId="169" fontId="15" fillId="6"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6" fontId="17"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65" fontId="17" fillId="0" borderId="0" xfId="0" applyFont="true" applyBorder="false" applyAlignment="true" applyProtection="false">
      <alignment horizontal="general" vertical="bottom" textRotation="0" wrapText="false" indent="0" shrinkToFit="false"/>
      <protection locked="true" hidden="false"/>
    </xf>
    <xf numFmtId="167" fontId="17" fillId="0" borderId="0" xfId="0" applyFont="true" applyBorder="false" applyAlignment="true" applyProtection="false">
      <alignment horizontal="general" vertical="bottom" textRotation="0" wrapText="false" indent="0" shrinkToFit="false"/>
      <protection locked="true" hidden="false"/>
    </xf>
    <xf numFmtId="169" fontId="17"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17" fillId="0" borderId="1" xfId="0" applyFont="true" applyBorder="tru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5" fontId="7" fillId="4" borderId="1" xfId="0" applyFont="true" applyBorder="tru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general" vertical="bottom" textRotation="0" wrapText="false" indent="0" shrinkToFit="false"/>
      <protection locked="true" hidden="false"/>
    </xf>
    <xf numFmtId="166" fontId="17" fillId="4" borderId="0" xfId="0" applyFont="true" applyBorder="false" applyAlignment="true" applyProtection="false">
      <alignment horizontal="general" vertical="bottom" textRotation="0" wrapText="false" indent="0" shrinkToFit="false"/>
      <protection locked="true" hidden="false"/>
    </xf>
    <xf numFmtId="167" fontId="11" fillId="4"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70" fontId="15" fillId="6"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bottom" textRotation="0" wrapText="false" indent="0" shrinkToFit="false"/>
      <protection locked="true" hidden="false"/>
    </xf>
    <xf numFmtId="167" fontId="0" fillId="4" borderId="0" xfId="0" applyFont="false" applyBorder="false" applyAlignment="true" applyProtection="false">
      <alignment horizontal="general" vertical="bottom" textRotation="0" wrapText="false" indent="0" shrinkToFit="false"/>
      <protection locked="true" hidden="false"/>
    </xf>
    <xf numFmtId="168" fontId="15"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1" fontId="15"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0" fillId="7" borderId="0" xfId="0" applyFont="true" applyBorder="false" applyAlignment="true" applyProtection="false">
      <alignment horizontal="general" vertical="bottom" textRotation="0" wrapText="false" indent="0" shrinkToFit="false"/>
      <protection locked="true" hidden="false"/>
    </xf>
    <xf numFmtId="164" fontId="0" fillId="8"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F4CCCC"/>
        </patternFill>
      </fill>
    </dxf>
    <dxf>
      <fill>
        <patternFill patternType="solid">
          <fgColor rgb="FF17365D"/>
          <bgColor rgb="FF000000"/>
        </patternFill>
      </fill>
    </dxf>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
      <fill>
        <patternFill patternType="solid">
          <fgColor rgb="FF666666"/>
          <bgColor rgb="FF000000"/>
        </patternFill>
      </fill>
    </dxf>
    <dxf>
      <fill>
        <patternFill patternType="solid">
          <fgColor rgb="FFFFFFFF"/>
          <bgColor rgb="FF000000"/>
        </patternFill>
      </fill>
    </dxf>
    <dxf>
      <fill>
        <patternFill patternType="solid">
          <fgColor rgb="FFE2F0D9"/>
          <bgColor rgb="FF000000"/>
        </patternFill>
      </fill>
    </dxf>
    <dxf>
      <fill>
        <patternFill patternType="solid">
          <fgColor rgb="FFFCE4D6"/>
          <bgColor rgb="FF000000"/>
        </patternFill>
      </fill>
    </dxf>
    <dxf>
      <fill>
        <patternFill patternType="solid">
          <fgColor rgb="FF0000FF"/>
          <bgColor rgb="FF000000"/>
        </patternFill>
      </fill>
    </dxf>
    <dxf>
      <fill>
        <patternFill patternType="solid">
          <fgColor rgb="FFE7E6E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4DFEC"/>
      <rgbColor rgb="FF878787"/>
      <rgbColor rgb="FF9999FF"/>
      <rgbColor rgb="FF993366"/>
      <rgbColor rgb="FFFFF9E6"/>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E2F0D9"/>
      <rgbColor rgb="FFFCE4D6"/>
      <rgbColor rgb="FFE7E6E6"/>
      <rgbColor rgb="FFFF99CC"/>
      <rgbColor rgb="FFCC99FF"/>
      <rgbColor rgb="FFF4CCCC"/>
      <rgbColor rgb="FF4F81BD"/>
      <rgbColor rgb="FF33CCCC"/>
      <rgbColor rgb="FF99CC00"/>
      <rgbColor rgb="FFFFCC00"/>
      <rgbColor rgb="FFFF9900"/>
      <rgbColor rgb="FFFF6600"/>
      <rgbColor rgb="FF666666"/>
      <rgbColor rgb="FF969696"/>
      <rgbColor rgb="FF1736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Fiscal and Economic Scale</a:t>
            </a:r>
          </a:p>
        </c:rich>
      </c:tx>
      <c:overlay val="0"/>
      <c:spPr>
        <a:noFill/>
        <a:ln w="0">
          <a:noFill/>
        </a:ln>
      </c:spPr>
    </c:title>
    <c:autoTitleDeleted val="0"/>
    <c:plotArea>
      <c:barChart>
        <c:barDir val="col"/>
        <c:grouping val="clustered"/>
        <c:varyColors val="0"/>
        <c:ser>
          <c:idx val="0"/>
          <c:order val="0"/>
          <c:tx>
            <c:strRef>
              <c:f>Dashboard!C27</c:f>
              <c:strCache>
                <c:ptCount val="1"/>
                <c:pt idx="0">
                  <c:v>Value</c:v>
                </c:pt>
              </c:strCache>
            </c:strRef>
          </c:tx>
          <c:spPr>
            <a:solidFill>
              <a:srgbClr val="4f81bd"/>
            </a:solidFill>
            <a:ln w="9360">
              <a:solidFill>
                <a:srgbClr val="f9f9f9"/>
              </a:solidFill>
              <a:round/>
            </a:ln>
          </c:spPr>
          <c:invertIfNegative val="0"/>
          <c:dLbls>
            <c:txPr>
              <a:bodyPr wrap="square"/>
              <a:lstStyle/>
              <a:p>
                <a:pPr>
                  <a:defRPr b="0" sz="1000" strike="noStrike" u="none">
                    <a:solidFill>
                      <a:srgbClr val="000000"/>
                    </a:solidFill>
                    <a:uFillTx/>
                    <a:latin typeface="Arial"/>
                  </a:defRPr>
                </a:pPr>
              </a:p>
            </c:txPr>
            <c:dLblPos val="outEnd"/>
            <c:showLegendKey val="0"/>
            <c:showVal val="0"/>
            <c:showCatName val="0"/>
            <c:showSerName val="0"/>
            <c:showPercent val="0"/>
            <c:separator>; </c:separator>
            <c:showLeaderLines val="1"/>
            <c:leaderLines>
              <c:spPr>
                <a:ln>
                  <a:solidFill>
                    <a:srgbClr val="f9f9f9"/>
                  </a:solidFill>
                </a:ln>
              </c:spPr>
            </c:leaderLines>
            <c:extLst>
              <c:ext xmlns:c15="http://schemas.microsoft.com/office/drawing/2012/chart" uri="{CE6537A1-D6FC-4f65-9D91-7224C49458BB}">
                <c15:showLeaderLines val="1"/>
              </c:ext>
            </c:extLst>
          </c:dLbls>
          <c:cat>
            <c:strRef>
              <c:f>Dashboard!$B$28:$B$31</c:f>
              <c:strCache>
                <c:ptCount val="4"/>
                <c:pt idx="0">
                  <c:v>City revenue</c:v>
                </c:pt>
                <c:pt idx="1">
                  <c:v>City cost</c:v>
                </c:pt>
                <c:pt idx="2">
                  <c:v>Net direct spending</c:v>
                </c:pt>
                <c:pt idx="3">
                  <c:v>Total output</c:v>
                </c:pt>
              </c:strCache>
            </c:strRef>
          </c:cat>
          <c:val>
            <c:numRef>
              <c:f>Dashboard!$C$28:$C$31</c:f>
              <c:numCache>
                <c:formatCode>\$#,##0;[RED]"($"#,##0\);\-</c:formatCode>
                <c:ptCount val="4"/>
                <c:pt idx="0">
                  <c:v>155747.63601608</c:v>
                </c:pt>
                <c:pt idx="1">
                  <c:v>110000</c:v>
                </c:pt>
                <c:pt idx="2">
                  <c:v>723593.521</c:v>
                </c:pt>
                <c:pt idx="3">
                  <c:v>1027502.79982</c:v>
                </c:pt>
              </c:numCache>
            </c:numRef>
          </c:val>
        </c:ser>
        <c:gapWidth val="150"/>
        <c:overlap val="0"/>
        <c:axId val="54262781"/>
        <c:axId val="59447610"/>
      </c:barChart>
      <c:catAx>
        <c:axId val="5426278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9447610"/>
        <c:crosses val="autoZero"/>
        <c:auto val="1"/>
        <c:lblAlgn val="ctr"/>
        <c:lblOffset val="100"/>
        <c:noMultiLvlLbl val="0"/>
      </c:catAx>
      <c:valAx>
        <c:axId val="59447610"/>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a:t>
                </a:r>
              </a:p>
            </c:rich>
          </c:tx>
          <c:overlay val="0"/>
          <c:spPr>
            <a:noFill/>
            <a:ln w="0">
              <a:noFill/>
            </a:ln>
          </c:spPr>
        </c:title>
        <c:numFmt formatCode="\$#,##0;[RED]&quot;($&quot;#,##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4262781"/>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26</xdr:row>
      <xdr:rowOff>0</xdr:rowOff>
    </xdr:from>
    <xdr:to>
      <xdr:col>7</xdr:col>
      <xdr:colOff>1514880</xdr:colOff>
      <xdr:row>39</xdr:row>
      <xdr:rowOff>42840</xdr:rowOff>
    </xdr:to>
    <xdr:graphicFrame>
      <xdr:nvGraphicFramePr>
        <xdr:cNvPr id="0" name="Chart 1"/>
        <xdr:cNvGraphicFramePr/>
      </xdr:nvGraphicFramePr>
      <xdr:xfrm>
        <a:off x="3735720" y="5276880"/>
        <a:ext cx="5039280" cy="251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18"/>
    <col collapsed="false" customWidth="true" hidden="false" outlineLevel="0" max="4" min="4" style="1" width="4"/>
    <col collapsed="false" customWidth="true" hidden="false" outlineLevel="0" max="5" min="5" style="1" width="28"/>
    <col collapsed="false" customWidth="true" hidden="false" outlineLevel="0" max="6" min="6" style="1" width="18"/>
    <col collapsed="false" customWidth="true" hidden="false" outlineLevel="0" max="7" min="7" style="1" width="4"/>
    <col collapsed="false" customWidth="true" hidden="false" outlineLevel="0" max="8" min="8" style="1" width="28"/>
    <col collapsed="false" customWidth="true" hidden="false" outlineLevel="0" max="9" min="9" style="1" width="18"/>
    <col collapsed="false" customWidth="true" hidden="false" outlineLevel="0" max="10" min="10" style="1" width="4"/>
  </cols>
  <sheetData>
    <row r="1" customFormat="false" ht="25.5" hidden="false" customHeight="true" outlineLevel="0" collapsed="false">
      <c r="A1" s="2" t="s">
        <v>0</v>
      </c>
      <c r="B1" s="2"/>
      <c r="C1" s="2"/>
      <c r="D1" s="2"/>
      <c r="E1" s="2"/>
      <c r="F1" s="2"/>
      <c r="G1" s="2"/>
      <c r="H1" s="2"/>
      <c r="I1" s="2"/>
      <c r="J1" s="2"/>
    </row>
    <row r="2" customFormat="false" ht="30" hidden="false" customHeight="true" outlineLevel="0" collapsed="false">
      <c r="A2" s="3" t="s">
        <v>1</v>
      </c>
      <c r="B2" s="3"/>
      <c r="C2" s="3"/>
      <c r="D2" s="3"/>
      <c r="E2" s="3"/>
      <c r="F2" s="3"/>
      <c r="G2" s="3"/>
      <c r="H2" s="3"/>
      <c r="I2" s="3"/>
      <c r="J2" s="3"/>
    </row>
    <row r="4" customFormat="false" ht="15" hidden="false" customHeight="true" outlineLevel="0" collapsed="false">
      <c r="B4" s="4" t="s">
        <v>2</v>
      </c>
      <c r="C4" s="5" t="str">
        <f aca="false">Controls!B5</f>
        <v>Central</v>
      </c>
    </row>
    <row r="6" customFormat="false" ht="15" hidden="false" customHeight="true" outlineLevel="0" collapsed="false">
      <c r="B6" s="6" t="s">
        <v>3</v>
      </c>
      <c r="C6" s="6"/>
      <c r="E6" s="6" t="s">
        <v>4</v>
      </c>
      <c r="F6" s="6"/>
      <c r="H6" s="6" t="s">
        <v>5</v>
      </c>
      <c r="I6" s="6"/>
    </row>
    <row r="7" customFormat="false" ht="15" hidden="false" customHeight="true" outlineLevel="0" collapsed="false">
      <c r="B7" s="7" t="n">
        <f aca="false">'City Fiscal'!B23</f>
        <v>45747.63601608</v>
      </c>
      <c r="C7" s="7"/>
      <c r="E7" s="7" t="n">
        <f aca="false">'Visitor Economics'!B18</f>
        <v>723593.521</v>
      </c>
      <c r="F7" s="7"/>
      <c r="H7" s="7" t="n">
        <f aca="false">'Visitor Economics'!B21</f>
        <v>1027502.79982</v>
      </c>
      <c r="I7" s="7"/>
    </row>
    <row r="8" customFormat="false" ht="15" hidden="false" customHeight="true" outlineLevel="0" collapsed="false">
      <c r="B8" s="7"/>
      <c r="C8" s="7"/>
      <c r="E8" s="7"/>
      <c r="F8" s="7"/>
      <c r="H8" s="7"/>
      <c r="I8" s="7"/>
    </row>
    <row r="11" customFormat="false" ht="15" hidden="false" customHeight="true" outlineLevel="0" collapsed="false">
      <c r="B11" s="6" t="s">
        <v>6</v>
      </c>
      <c r="C11" s="6"/>
      <c r="E11" s="6" t="s">
        <v>7</v>
      </c>
      <c r="F11" s="6"/>
      <c r="H11" s="6" t="s">
        <v>8</v>
      </c>
      <c r="I11" s="6"/>
    </row>
    <row r="12" customFormat="false" ht="15" hidden="false" customHeight="true" outlineLevel="0" collapsed="false">
      <c r="B12" s="8" t="n">
        <f aca="false">'Visitor Economics'!B5</f>
        <v>32200</v>
      </c>
      <c r="C12" s="8"/>
      <c r="E12" s="8" t="n">
        <f aca="false">'Mobility &amp; Emissions'!B8</f>
        <v>8318.33333333333</v>
      </c>
      <c r="F12" s="8"/>
      <c r="H12" s="9" t="n">
        <f aca="false">'Mobility &amp; Emissions'!B21</f>
        <v>93.3317</v>
      </c>
      <c r="I12" s="9"/>
    </row>
    <row r="13" customFormat="false" ht="15" hidden="false" customHeight="true" outlineLevel="0" collapsed="false">
      <c r="B13" s="8"/>
      <c r="C13" s="8"/>
      <c r="E13" s="8"/>
      <c r="F13" s="8"/>
      <c r="H13" s="9"/>
      <c r="I13" s="9"/>
    </row>
    <row r="16" customFormat="false" ht="15" hidden="false" customHeight="true" outlineLevel="0" collapsed="false">
      <c r="B16" s="6" t="s">
        <v>9</v>
      </c>
      <c r="C16" s="6"/>
      <c r="E16" s="6" t="s">
        <v>10</v>
      </c>
      <c r="F16" s="6"/>
      <c r="H16" s="6" t="s">
        <v>11</v>
      </c>
      <c r="I16" s="6"/>
    </row>
    <row r="17" customFormat="false" ht="15" hidden="false" customHeight="true" outlineLevel="0" collapsed="false">
      <c r="B17" s="10" t="n">
        <f aca="false">'City Fiscal'!B25</f>
        <v>1.41588760014618</v>
      </c>
      <c r="C17" s="10"/>
      <c r="E17" s="9" t="n">
        <f aca="false">'Public Value'!D14</f>
        <v>70.2</v>
      </c>
      <c r="F17" s="9"/>
      <c r="H17" s="8" t="n">
        <f aca="false">'Mobility &amp; Emissions'!B16</f>
        <v>-3989.2</v>
      </c>
      <c r="I17" s="8"/>
    </row>
    <row r="18" customFormat="false" ht="15" hidden="false" customHeight="true" outlineLevel="0" collapsed="false">
      <c r="B18" s="10"/>
      <c r="C18" s="10"/>
      <c r="E18" s="9"/>
      <c r="F18" s="9"/>
      <c r="H18" s="8"/>
      <c r="I18" s="8"/>
    </row>
    <row r="21" customFormat="false" ht="15" hidden="false" customHeight="true" outlineLevel="0" collapsed="false">
      <c r="A21" s="11" t="s">
        <v>12</v>
      </c>
      <c r="B21" s="11"/>
      <c r="C21" s="11"/>
      <c r="D21" s="11"/>
      <c r="E21" s="11"/>
      <c r="F21" s="11"/>
      <c r="G21" s="11"/>
      <c r="H21" s="11"/>
      <c r="I21" s="11"/>
    </row>
    <row r="22" customFormat="false" ht="15" hidden="false" customHeight="true" outlineLevel="0" collapsed="false">
      <c r="B22" s="12" t="str">
        <f aca="false">IF('City Fiscal'!B23&gt;=0,"The active scenario is estimated to cover incremental City cost while also producing local economic and public-value effects.","The active scenario requires an estimated City subsidy. Compare that subsidy with incremental local economic activity, public value, mobility impacts, and uncertainty before making a policy judgment.")</f>
        <v>The active scenario is estimated to cover incremental City cost while also producing local economic and public-value effects.</v>
      </c>
      <c r="C22" s="12"/>
      <c r="D22" s="12"/>
      <c r="E22" s="12"/>
      <c r="F22" s="12"/>
      <c r="G22" s="12"/>
      <c r="H22" s="12"/>
      <c r="I22" s="12"/>
    </row>
    <row r="23" customFormat="false" ht="15" hidden="false" customHeight="true" outlineLevel="0" collapsed="false">
      <c r="B23" s="12"/>
      <c r="C23" s="12"/>
      <c r="D23" s="12"/>
      <c r="E23" s="12"/>
      <c r="F23" s="12"/>
      <c r="G23" s="12"/>
      <c r="H23" s="12"/>
      <c r="I23" s="12"/>
    </row>
    <row r="24" customFormat="false" ht="15" hidden="false" customHeight="true" outlineLevel="0" collapsed="false">
      <c r="B24" s="12"/>
      <c r="C24" s="12"/>
      <c r="D24" s="12"/>
      <c r="E24" s="12"/>
      <c r="F24" s="12"/>
      <c r="G24" s="12"/>
      <c r="H24" s="12"/>
      <c r="I24" s="12"/>
    </row>
    <row r="27" customFormat="false" ht="15" hidden="false" customHeight="true" outlineLevel="0" collapsed="false">
      <c r="B27" s="1" t="s">
        <v>13</v>
      </c>
      <c r="C27" s="1" t="s">
        <v>14</v>
      </c>
    </row>
    <row r="28" customFormat="false" ht="15" hidden="false" customHeight="true" outlineLevel="0" collapsed="false">
      <c r="B28" s="1" t="s">
        <v>15</v>
      </c>
      <c r="C28" s="13" t="n">
        <f aca="false">'City Fiscal'!B10</f>
        <v>155747.63601608</v>
      </c>
    </row>
    <row r="29" customFormat="false" ht="15" hidden="false" customHeight="true" outlineLevel="0" collapsed="false">
      <c r="B29" s="1" t="s">
        <v>16</v>
      </c>
      <c r="C29" s="13" t="n">
        <f aca="false">'City Fiscal'!B13</f>
        <v>110000</v>
      </c>
    </row>
    <row r="30" customFormat="false" ht="15" hidden="false" customHeight="true" outlineLevel="0" collapsed="false">
      <c r="B30" s="1" t="s">
        <v>17</v>
      </c>
      <c r="C30" s="13" t="n">
        <f aca="false">'Visitor Economics'!B18</f>
        <v>723593.521</v>
      </c>
    </row>
    <row r="31" customFormat="false" ht="15" hidden="false" customHeight="true" outlineLevel="0" collapsed="false">
      <c r="B31" s="1" t="s">
        <v>18</v>
      </c>
      <c r="C31" s="13" t="n">
        <f aca="false">'Visitor Economics'!B21</f>
        <v>1027502.79982</v>
      </c>
    </row>
    <row r="35" customFormat="false" ht="15" hidden="false" customHeight="true" outlineLevel="0" collapsed="false">
      <c r="A35" s="11" t="s">
        <v>19</v>
      </c>
      <c r="B35" s="11"/>
      <c r="C35" s="11"/>
      <c r="D35" s="11"/>
      <c r="E35" s="11"/>
      <c r="F35" s="11"/>
      <c r="G35" s="11"/>
      <c r="H35" s="11"/>
      <c r="I35" s="11"/>
    </row>
    <row r="36" customFormat="false" ht="15" hidden="false" customHeight="true" outlineLevel="0" collapsed="false">
      <c r="B36" s="14" t="s">
        <v>20</v>
      </c>
      <c r="C36" s="15" t="n">
        <f aca="false">'Monte Carlo'!B1008</f>
        <v>32811.3887505012</v>
      </c>
    </row>
    <row r="37" customFormat="false" ht="15" hidden="false" customHeight="true" outlineLevel="0" collapsed="false">
      <c r="B37" s="14" t="s">
        <v>21</v>
      </c>
      <c r="C37" s="15" t="n">
        <f aca="false">'Monte Carlo'!B1009</f>
        <v>15878.2612950689</v>
      </c>
    </row>
    <row r="38" customFormat="false" ht="15" hidden="false" customHeight="true" outlineLevel="0" collapsed="false">
      <c r="B38" s="14" t="s">
        <v>22</v>
      </c>
      <c r="C38" s="15" t="n">
        <f aca="false">'Monte Carlo'!B1010</f>
        <v>32882.5225542692</v>
      </c>
    </row>
    <row r="39" customFormat="false" ht="15" hidden="false" customHeight="true" outlineLevel="0" collapsed="false">
      <c r="B39" s="14" t="s">
        <v>23</v>
      </c>
      <c r="C39" s="15" t="n">
        <f aca="false">'Monte Carlo'!B1011</f>
        <v>49137.8710556901</v>
      </c>
    </row>
    <row r="40" customFormat="false" ht="15" hidden="false" customHeight="true" outlineLevel="0" collapsed="false">
      <c r="B40" s="14" t="s">
        <v>24</v>
      </c>
      <c r="C40" s="16" t="n">
        <f aca="false">'Monte Carlo'!B1012</f>
        <v>0.998</v>
      </c>
    </row>
  </sheetData>
  <mergeCells count="23">
    <mergeCell ref="A1:J1"/>
    <mergeCell ref="A2:J2"/>
    <mergeCell ref="B6:C6"/>
    <mergeCell ref="E6:F6"/>
    <mergeCell ref="H6:I6"/>
    <mergeCell ref="B7:C8"/>
    <mergeCell ref="E7:F8"/>
    <mergeCell ref="H7:I8"/>
    <mergeCell ref="B11:C11"/>
    <mergeCell ref="E11:F11"/>
    <mergeCell ref="H11:I11"/>
    <mergeCell ref="B12:C13"/>
    <mergeCell ref="E12:F13"/>
    <mergeCell ref="H12:I13"/>
    <mergeCell ref="B16:C16"/>
    <mergeCell ref="E16:F16"/>
    <mergeCell ref="H16:I16"/>
    <mergeCell ref="B17:C18"/>
    <mergeCell ref="E17:F18"/>
    <mergeCell ref="H17:I18"/>
    <mergeCell ref="A21:I21"/>
    <mergeCell ref="B22:I24"/>
    <mergeCell ref="A35:I35"/>
  </mergeCells>
  <conditionalFormatting sqref="C8">
    <cfRule type="cellIs" priority="2" operator="lessThan" aboveAverage="0" equalAverage="0" bottom="0" percent="0" rank="0" text="" dxfId="0">
      <formula>0</formula>
    </cfRule>
  </conditionalFormatting>
  <conditionalFormatting sqref="I18">
    <cfRule type="cellIs" priority="3"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6"/>
    <col collapsed="false" customWidth="true" hidden="false" outlineLevel="0" max="2" min="2" style="1" width="16"/>
    <col collapsed="false" customWidth="true" hidden="false" outlineLevel="0" max="3" min="3" style="1" width="14"/>
    <col collapsed="false" customWidth="true" hidden="false" outlineLevel="0" max="4" min="4" style="1" width="52"/>
    <col collapsed="false" customWidth="true" hidden="false" outlineLevel="0" max="7" min="5" style="1" width="16"/>
  </cols>
  <sheetData>
    <row r="1" customFormat="false" ht="25.5" hidden="false" customHeight="true" outlineLevel="0" collapsed="false">
      <c r="A1" s="2" t="s">
        <v>25</v>
      </c>
      <c r="B1" s="2"/>
      <c r="C1" s="2"/>
      <c r="D1" s="2"/>
      <c r="E1" s="2"/>
      <c r="F1" s="2"/>
      <c r="G1" s="2"/>
    </row>
    <row r="2" customFormat="false" ht="30" hidden="false" customHeight="true" outlineLevel="0" collapsed="false">
      <c r="A2" s="3" t="s">
        <v>26</v>
      </c>
      <c r="B2" s="3"/>
      <c r="C2" s="3"/>
      <c r="D2" s="3"/>
      <c r="E2" s="3"/>
      <c r="F2" s="3"/>
      <c r="G2" s="3"/>
    </row>
    <row r="4" customFormat="false" ht="15" hidden="false" customHeight="true" outlineLevel="0" collapsed="false">
      <c r="A4" s="11" t="s">
        <v>27</v>
      </c>
      <c r="B4" s="11"/>
      <c r="C4" s="11"/>
      <c r="D4" s="11"/>
      <c r="E4" s="11"/>
      <c r="F4" s="11"/>
      <c r="G4" s="11"/>
    </row>
    <row r="5" customFormat="false" ht="15" hidden="false" customHeight="true" outlineLevel="0" collapsed="false">
      <c r="A5" s="14" t="s">
        <v>2</v>
      </c>
      <c r="B5" s="17" t="s">
        <v>28</v>
      </c>
      <c r="D5" s="18" t="s">
        <v>29</v>
      </c>
    </row>
    <row r="8" customFormat="false" ht="15" hidden="false" customHeight="true" outlineLevel="0" collapsed="false">
      <c r="A8" s="19" t="s">
        <v>30</v>
      </c>
      <c r="B8" s="19" t="s">
        <v>31</v>
      </c>
      <c r="C8" s="19" t="s">
        <v>28</v>
      </c>
      <c r="D8" s="19" t="s">
        <v>32</v>
      </c>
      <c r="E8" s="19" t="s">
        <v>33</v>
      </c>
      <c r="F8" s="19" t="s">
        <v>34</v>
      </c>
    </row>
    <row r="9" customFormat="false" ht="15" hidden="false" customHeight="true" outlineLevel="0" collapsed="false">
      <c r="A9" s="14" t="s">
        <v>35</v>
      </c>
      <c r="B9" s="20" t="n">
        <v>25000</v>
      </c>
      <c r="C9" s="20" t="n">
        <v>35000</v>
      </c>
      <c r="D9" s="20" t="n">
        <v>45000</v>
      </c>
      <c r="E9" s="14" t="s">
        <v>36</v>
      </c>
      <c r="F9" s="18" t="s">
        <v>37</v>
      </c>
    </row>
    <row r="10" customFormat="false" ht="15" hidden="false" customHeight="true" outlineLevel="0" collapsed="false">
      <c r="A10" s="14" t="s">
        <v>38</v>
      </c>
      <c r="B10" s="21" t="n">
        <v>0.45</v>
      </c>
      <c r="C10" s="21" t="n">
        <v>0.35</v>
      </c>
      <c r="D10" s="21" t="n">
        <v>0.25</v>
      </c>
      <c r="E10" s="14" t="s">
        <v>39</v>
      </c>
      <c r="F10" s="18" t="s">
        <v>40</v>
      </c>
    </row>
    <row r="11" customFormat="false" ht="15" hidden="false" customHeight="true" outlineLevel="0" collapsed="false">
      <c r="A11" s="14" t="s">
        <v>41</v>
      </c>
      <c r="B11" s="21" t="n">
        <v>0.65</v>
      </c>
      <c r="C11" s="21" t="n">
        <v>0.78</v>
      </c>
      <c r="D11" s="21" t="n">
        <v>0.88</v>
      </c>
      <c r="E11" s="14" t="s">
        <v>39</v>
      </c>
      <c r="F11" s="18" t="s">
        <v>42</v>
      </c>
    </row>
    <row r="12" customFormat="false" ht="15" hidden="false" customHeight="true" outlineLevel="0" collapsed="false">
      <c r="A12" s="14" t="s">
        <v>43</v>
      </c>
      <c r="B12" s="21" t="n">
        <v>0.05</v>
      </c>
      <c r="C12" s="21" t="n">
        <v>0.12</v>
      </c>
      <c r="D12" s="21" t="n">
        <v>0.2</v>
      </c>
      <c r="E12" s="14" t="s">
        <v>39</v>
      </c>
      <c r="F12" s="18" t="s">
        <v>42</v>
      </c>
    </row>
    <row r="13" customFormat="false" ht="15" hidden="false" customHeight="true" outlineLevel="0" collapsed="false">
      <c r="A13" s="14" t="s">
        <v>44</v>
      </c>
      <c r="B13" s="22" t="n">
        <v>18</v>
      </c>
      <c r="C13" s="22" t="n">
        <v>25</v>
      </c>
      <c r="D13" s="22" t="n">
        <v>34</v>
      </c>
      <c r="E13" s="14" t="s">
        <v>45</v>
      </c>
      <c r="F13" s="18" t="s">
        <v>42</v>
      </c>
    </row>
    <row r="14" customFormat="false" ht="15" hidden="false" customHeight="true" outlineLevel="0" collapsed="false">
      <c r="A14" s="14" t="s">
        <v>46</v>
      </c>
      <c r="B14" s="22" t="n">
        <v>35</v>
      </c>
      <c r="C14" s="22" t="n">
        <v>52</v>
      </c>
      <c r="D14" s="22" t="n">
        <v>72</v>
      </c>
      <c r="E14" s="14" t="s">
        <v>45</v>
      </c>
      <c r="F14" s="18" t="s">
        <v>42</v>
      </c>
    </row>
    <row r="15" customFormat="false" ht="15" hidden="false" customHeight="true" outlineLevel="0" collapsed="false">
      <c r="A15" s="14" t="s">
        <v>47</v>
      </c>
      <c r="B15" s="21" t="n">
        <v>0.02</v>
      </c>
      <c r="C15" s="21" t="n">
        <v>0.05</v>
      </c>
      <c r="D15" s="21" t="n">
        <v>0.09</v>
      </c>
      <c r="E15" s="14" t="s">
        <v>39</v>
      </c>
      <c r="F15" s="18" t="s">
        <v>42</v>
      </c>
    </row>
    <row r="16" customFormat="false" ht="15" hidden="false" customHeight="true" outlineLevel="0" collapsed="false">
      <c r="A16" s="14" t="s">
        <v>48</v>
      </c>
      <c r="B16" s="22" t="n">
        <v>145</v>
      </c>
      <c r="C16" s="22" t="n">
        <v>185</v>
      </c>
      <c r="D16" s="22" t="n">
        <v>240</v>
      </c>
      <c r="E16" s="14" t="s">
        <v>49</v>
      </c>
      <c r="F16" s="18" t="s">
        <v>50</v>
      </c>
    </row>
    <row r="17" customFormat="false" ht="15" hidden="false" customHeight="true" outlineLevel="0" collapsed="false">
      <c r="A17" s="14" t="s">
        <v>51</v>
      </c>
      <c r="B17" s="23" t="n">
        <v>1.8</v>
      </c>
      <c r="C17" s="23" t="n">
        <v>2</v>
      </c>
      <c r="D17" s="23" t="n">
        <v>2.2</v>
      </c>
      <c r="E17" s="14" t="s">
        <v>36</v>
      </c>
      <c r="F17" s="18" t="s">
        <v>52</v>
      </c>
    </row>
    <row r="18" customFormat="false" ht="15" hidden="false" customHeight="true" outlineLevel="0" collapsed="false">
      <c r="A18" s="14" t="s">
        <v>53</v>
      </c>
      <c r="B18" s="21" t="n">
        <v>0.72</v>
      </c>
      <c r="C18" s="21" t="n">
        <v>0.82</v>
      </c>
      <c r="D18" s="21" t="n">
        <v>0.9</v>
      </c>
      <c r="E18" s="14" t="s">
        <v>39</v>
      </c>
      <c r="F18" s="18" t="s">
        <v>54</v>
      </c>
    </row>
    <row r="19" customFormat="false" ht="15" hidden="false" customHeight="true" outlineLevel="0" collapsed="false">
      <c r="A19" s="14" t="s">
        <v>55</v>
      </c>
      <c r="B19" s="24" t="n">
        <v>1.25</v>
      </c>
      <c r="C19" s="24" t="n">
        <v>1.42</v>
      </c>
      <c r="D19" s="24" t="n">
        <v>1.58</v>
      </c>
      <c r="E19" s="14" t="s">
        <v>56</v>
      </c>
      <c r="F19" s="18" t="s">
        <v>57</v>
      </c>
    </row>
    <row r="20" customFormat="false" ht="15" hidden="false" customHeight="true" outlineLevel="0" collapsed="false">
      <c r="A20" s="14" t="s">
        <v>58</v>
      </c>
      <c r="B20" s="21" t="n">
        <v>0.48</v>
      </c>
      <c r="C20" s="21" t="n">
        <v>0.54</v>
      </c>
      <c r="D20" s="21" t="n">
        <v>0.6</v>
      </c>
      <c r="E20" s="14" t="s">
        <v>39</v>
      </c>
      <c r="F20" s="18" t="s">
        <v>59</v>
      </c>
    </row>
    <row r="21" customFormat="false" ht="15" hidden="false" customHeight="true" outlineLevel="0" collapsed="false">
      <c r="A21" s="14" t="s">
        <v>60</v>
      </c>
      <c r="B21" s="21" t="n">
        <v>0.28</v>
      </c>
      <c r="C21" s="21" t="n">
        <v>0.34</v>
      </c>
      <c r="D21" s="21" t="n">
        <v>0.4</v>
      </c>
      <c r="E21" s="14" t="s">
        <v>39</v>
      </c>
      <c r="F21" s="18" t="s">
        <v>59</v>
      </c>
    </row>
    <row r="22" customFormat="false" ht="15" hidden="false" customHeight="true" outlineLevel="0" collapsed="false">
      <c r="A22" s="14" t="s">
        <v>61</v>
      </c>
      <c r="B22" s="21" t="n">
        <v>0.0075</v>
      </c>
      <c r="C22" s="21" t="n">
        <v>0.009</v>
      </c>
      <c r="D22" s="21" t="n">
        <v>0.01</v>
      </c>
      <c r="E22" s="14" t="s">
        <v>62</v>
      </c>
      <c r="F22" s="18" t="s">
        <v>63</v>
      </c>
    </row>
    <row r="23" customFormat="false" ht="15" hidden="false" customHeight="true" outlineLevel="0" collapsed="false">
      <c r="A23" s="14" t="s">
        <v>64</v>
      </c>
      <c r="B23" s="21" t="n">
        <v>0.65</v>
      </c>
      <c r="C23" s="21" t="n">
        <v>0.72</v>
      </c>
      <c r="D23" s="21" t="n">
        <v>0.8</v>
      </c>
      <c r="E23" s="14" t="s">
        <v>39</v>
      </c>
      <c r="F23" s="18" t="s">
        <v>65</v>
      </c>
    </row>
    <row r="24" customFormat="false" ht="15" hidden="false" customHeight="true" outlineLevel="0" collapsed="false">
      <c r="A24" s="14" t="s">
        <v>66</v>
      </c>
      <c r="B24" s="22" t="n">
        <v>135000</v>
      </c>
      <c r="C24" s="22" t="n">
        <v>110000</v>
      </c>
      <c r="D24" s="22" t="n">
        <v>90000</v>
      </c>
      <c r="E24" s="14" t="s">
        <v>67</v>
      </c>
      <c r="F24" s="18" t="s">
        <v>68</v>
      </c>
    </row>
    <row r="25" customFormat="false" ht="15" hidden="false" customHeight="true" outlineLevel="0" collapsed="false">
      <c r="A25" s="14" t="s">
        <v>69</v>
      </c>
      <c r="B25" s="22" t="n">
        <v>30000</v>
      </c>
      <c r="C25" s="22" t="n">
        <v>45000</v>
      </c>
      <c r="D25" s="22" t="n">
        <v>60000</v>
      </c>
      <c r="E25" s="14" t="s">
        <v>67</v>
      </c>
      <c r="F25" s="18" t="s">
        <v>70</v>
      </c>
    </row>
    <row r="26" customFormat="false" ht="15" hidden="false" customHeight="true" outlineLevel="0" collapsed="false">
      <c r="A26" s="14" t="s">
        <v>71</v>
      </c>
      <c r="B26" s="22" t="n">
        <v>10</v>
      </c>
      <c r="C26" s="22" t="n">
        <v>15</v>
      </c>
      <c r="D26" s="22" t="n">
        <v>20</v>
      </c>
      <c r="E26" s="14" t="s">
        <v>67</v>
      </c>
      <c r="F26" s="18" t="s">
        <v>72</v>
      </c>
    </row>
    <row r="27" customFormat="false" ht="15" hidden="false" customHeight="true" outlineLevel="0" collapsed="false">
      <c r="A27" s="14" t="s">
        <v>73</v>
      </c>
      <c r="B27" s="21" t="n">
        <v>0.75</v>
      </c>
      <c r="C27" s="21" t="n">
        <v>0.85</v>
      </c>
      <c r="D27" s="21" t="n">
        <v>0.9</v>
      </c>
      <c r="E27" s="14" t="s">
        <v>39</v>
      </c>
      <c r="F27" s="18" t="s">
        <v>74</v>
      </c>
    </row>
    <row r="28" customFormat="false" ht="15" hidden="false" customHeight="true" outlineLevel="0" collapsed="false">
      <c r="A28" s="14" t="s">
        <v>75</v>
      </c>
      <c r="B28" s="21" t="n">
        <v>0.72</v>
      </c>
      <c r="C28" s="21" t="n">
        <v>0.62</v>
      </c>
      <c r="D28" s="21" t="n">
        <v>0.5</v>
      </c>
      <c r="E28" s="14" t="s">
        <v>39</v>
      </c>
      <c r="F28" s="18" t="s">
        <v>76</v>
      </c>
    </row>
    <row r="29" customFormat="false" ht="15" hidden="false" customHeight="true" outlineLevel="0" collapsed="false">
      <c r="A29" s="14" t="s">
        <v>77</v>
      </c>
      <c r="B29" s="23" t="n">
        <v>2.1</v>
      </c>
      <c r="C29" s="23" t="n">
        <v>2.4</v>
      </c>
      <c r="D29" s="23" t="n">
        <v>2.7</v>
      </c>
      <c r="E29" s="14" t="s">
        <v>78</v>
      </c>
      <c r="F29" s="18" t="s">
        <v>76</v>
      </c>
    </row>
    <row r="30" customFormat="false" ht="15" hidden="false" customHeight="true" outlineLevel="0" collapsed="false">
      <c r="A30" s="14" t="s">
        <v>79</v>
      </c>
      <c r="B30" s="20" t="n">
        <v>28</v>
      </c>
      <c r="C30" s="20" t="n">
        <v>34</v>
      </c>
      <c r="D30" s="20" t="n">
        <v>40</v>
      </c>
      <c r="E30" s="14" t="s">
        <v>80</v>
      </c>
      <c r="F30" s="18" t="s">
        <v>81</v>
      </c>
    </row>
    <row r="31" customFormat="false" ht="15" hidden="false" customHeight="true" outlineLevel="0" collapsed="false">
      <c r="A31" s="14" t="s">
        <v>82</v>
      </c>
      <c r="B31" s="21" t="n">
        <v>0.1</v>
      </c>
      <c r="C31" s="21" t="n">
        <v>0.15</v>
      </c>
      <c r="D31" s="21" t="n">
        <v>0.22</v>
      </c>
      <c r="E31" s="14" t="s">
        <v>39</v>
      </c>
      <c r="F31" s="18" t="s">
        <v>76</v>
      </c>
    </row>
    <row r="32" customFormat="false" ht="15" hidden="false" customHeight="true" outlineLevel="0" collapsed="false">
      <c r="A32" s="14" t="s">
        <v>83</v>
      </c>
      <c r="B32" s="21" t="n">
        <v>0.12</v>
      </c>
      <c r="C32" s="21" t="n">
        <v>0.17</v>
      </c>
      <c r="D32" s="21" t="n">
        <v>0.23</v>
      </c>
      <c r="E32" s="14" t="s">
        <v>39</v>
      </c>
      <c r="F32" s="18" t="s">
        <v>76</v>
      </c>
    </row>
    <row r="33" customFormat="false" ht="15" hidden="false" customHeight="true" outlineLevel="0" collapsed="false">
      <c r="A33" s="14" t="s">
        <v>84</v>
      </c>
      <c r="B33" s="21" t="n">
        <v>0.00036</v>
      </c>
      <c r="C33" s="21" t="n">
        <v>0.00033</v>
      </c>
      <c r="D33" s="21" t="n">
        <v>0.0003</v>
      </c>
      <c r="E33" s="14" t="s">
        <v>85</v>
      </c>
      <c r="F33" s="18" t="s">
        <v>86</v>
      </c>
    </row>
    <row r="34" customFormat="false" ht="15" hidden="false" customHeight="true" outlineLevel="0" collapsed="false">
      <c r="A34" s="14" t="s">
        <v>87</v>
      </c>
      <c r="B34" s="21" t="n">
        <v>0.75</v>
      </c>
      <c r="C34" s="21" t="n">
        <v>0.6</v>
      </c>
      <c r="D34" s="21" t="n">
        <v>0.45</v>
      </c>
      <c r="E34" s="14" t="s">
        <v>88</v>
      </c>
      <c r="F34" s="18" t="s">
        <v>89</v>
      </c>
    </row>
    <row r="35" customFormat="false" ht="15" hidden="false" customHeight="true" outlineLevel="0" collapsed="false">
      <c r="A35" s="14" t="s">
        <v>90</v>
      </c>
      <c r="B35" s="21" t="n">
        <v>0.45</v>
      </c>
      <c r="C35" s="21" t="n">
        <v>0.6</v>
      </c>
      <c r="D35" s="21" t="n">
        <v>0.75</v>
      </c>
      <c r="E35" s="14" t="s">
        <v>39</v>
      </c>
      <c r="F35" s="18" t="s">
        <v>91</v>
      </c>
    </row>
    <row r="36" customFormat="false" ht="15" hidden="false" customHeight="true" outlineLevel="0" collapsed="false">
      <c r="A36" s="14" t="s">
        <v>92</v>
      </c>
      <c r="B36" s="21" t="n">
        <v>0.78</v>
      </c>
      <c r="C36" s="21" t="n">
        <v>0.92</v>
      </c>
      <c r="D36" s="23" t="n">
        <v>1</v>
      </c>
      <c r="E36" s="14" t="s">
        <v>93</v>
      </c>
      <c r="F36" s="18" t="s">
        <v>94</v>
      </c>
    </row>
    <row r="37" customFormat="false" ht="15" hidden="false" customHeight="true" outlineLevel="0" collapsed="false">
      <c r="A37" s="14" t="s">
        <v>95</v>
      </c>
      <c r="B37" s="22" t="n">
        <v>60000</v>
      </c>
      <c r="C37" s="22" t="n">
        <v>35000</v>
      </c>
      <c r="D37" s="22" t="n">
        <v>15000</v>
      </c>
      <c r="E37" s="14" t="s">
        <v>67</v>
      </c>
      <c r="F37" s="18" t="s">
        <v>96</v>
      </c>
    </row>
    <row r="40" customFormat="false" ht="15" hidden="false" customHeight="true" outlineLevel="0" collapsed="false">
      <c r="A40" s="11" t="s">
        <v>97</v>
      </c>
      <c r="B40" s="11"/>
      <c r="C40" s="11"/>
      <c r="D40" s="11"/>
      <c r="E40" s="11"/>
      <c r="F40" s="11"/>
      <c r="G40" s="11"/>
    </row>
    <row r="41" customFormat="false" ht="15" hidden="false" customHeight="true" outlineLevel="0" collapsed="false">
      <c r="A41" s="25" t="s">
        <v>30</v>
      </c>
      <c r="B41" s="25" t="s">
        <v>98</v>
      </c>
      <c r="C41" s="25" t="s">
        <v>33</v>
      </c>
    </row>
    <row r="42" customFormat="false" ht="15" hidden="false" customHeight="true" outlineLevel="0" collapsed="false">
      <c r="A42" s="26" t="str">
        <f aca="false">A9</f>
        <v>Total attendance</v>
      </c>
      <c r="B42" s="27" t="n">
        <f aca="false">IF($B$5="Conservative",B9,IF($B$5="High",D9,C9))</f>
        <v>35000</v>
      </c>
      <c r="C42" s="26" t="str">
        <f aca="false">E9</f>
        <v>people</v>
      </c>
    </row>
    <row r="43" customFormat="false" ht="15" hidden="false" customHeight="true" outlineLevel="0" collapsed="false">
      <c r="A43" s="26" t="str">
        <f aca="false">A10</f>
        <v>Berkeley resident share</v>
      </c>
      <c r="B43" s="28" t="n">
        <f aca="false">IF($B$5="Conservative",B10,IF($B$5="High",D10,C10))</f>
        <v>0.35</v>
      </c>
      <c r="C43" s="26" t="str">
        <f aca="false">E10</f>
        <v>%</v>
      </c>
    </row>
    <row r="44" customFormat="false" ht="15" hidden="false" customHeight="true" outlineLevel="0" collapsed="false">
      <c r="A44" s="26" t="str">
        <f aca="false">A11</f>
        <v>Festival-attributed share: nonresidents</v>
      </c>
      <c r="B44" s="28" t="n">
        <f aca="false">IF($B$5="Conservative",B11,IF($B$5="High",D11,C11))</f>
        <v>0.78</v>
      </c>
      <c r="C44" s="26" t="str">
        <f aca="false">E11</f>
        <v>%</v>
      </c>
    </row>
    <row r="45" customFormat="false" ht="15" hidden="false" customHeight="true" outlineLevel="0" collapsed="false">
      <c r="A45" s="26" t="str">
        <f aca="false">A12</f>
        <v>Festival-attributed share: residents</v>
      </c>
      <c r="B45" s="28" t="n">
        <f aca="false">IF($B$5="Conservative",B12,IF($B$5="High",D12,C12))</f>
        <v>0.12</v>
      </c>
      <c r="C45" s="26" t="str">
        <f aca="false">E12</f>
        <v>%</v>
      </c>
    </row>
    <row r="46" customFormat="false" ht="15" hidden="false" customHeight="true" outlineLevel="0" collapsed="false">
      <c r="A46" s="26" t="str">
        <f aca="false">A13</f>
        <v>Avg Berkeley spend: resident attendee</v>
      </c>
      <c r="B46" s="29" t="n">
        <f aca="false">IF($B$5="Conservative",B13,IF($B$5="High",D13,C13))</f>
        <v>25</v>
      </c>
      <c r="C46" s="26" t="str">
        <f aca="false">E13</f>
        <v>$/person</v>
      </c>
    </row>
    <row r="47" customFormat="false" ht="15" hidden="false" customHeight="true" outlineLevel="0" collapsed="false">
      <c r="A47" s="26" t="str">
        <f aca="false">A14</f>
        <v>Avg Berkeley spend: nonresident day visitor</v>
      </c>
      <c r="B47" s="29" t="n">
        <f aca="false">IF($B$5="Conservative",B14,IF($B$5="High",D14,C14))</f>
        <v>52</v>
      </c>
      <c r="C47" s="26" t="str">
        <f aca="false">E14</f>
        <v>$/person</v>
      </c>
    </row>
    <row r="48" customFormat="false" ht="15" hidden="false" customHeight="true" outlineLevel="0" collapsed="false">
      <c r="A48" s="26" t="str">
        <f aca="false">A15</f>
        <v>Overnight visitor share of nonresidents</v>
      </c>
      <c r="B48" s="28" t="n">
        <f aca="false">IF($B$5="Conservative",B15,IF($B$5="High",D15,C15))</f>
        <v>0.05</v>
      </c>
      <c r="C48" s="26" t="str">
        <f aca="false">E15</f>
        <v>%</v>
      </c>
    </row>
    <row r="49" customFormat="false" ht="15" hidden="false" customHeight="true" outlineLevel="0" collapsed="false">
      <c r="A49" s="26" t="str">
        <f aca="false">A16</f>
        <v>Avg incremental lodging spend</v>
      </c>
      <c r="B49" s="29" t="n">
        <f aca="false">IF($B$5="Conservative",B16,IF($B$5="High",D16,C16))</f>
        <v>185</v>
      </c>
      <c r="C49" s="26" t="str">
        <f aca="false">E16</f>
        <v>$/room-night</v>
      </c>
    </row>
    <row r="50" customFormat="false" ht="15" hidden="false" customHeight="true" outlineLevel="0" collapsed="false">
      <c r="A50" s="26" t="str">
        <f aca="false">A17</f>
        <v>People per hotel room</v>
      </c>
      <c r="B50" s="30" t="n">
        <f aca="false">IF($B$5="Conservative",B17,IF($B$5="High",D17,C17))</f>
        <v>2</v>
      </c>
      <c r="C50" s="26" t="str">
        <f aca="false">E17</f>
        <v>people</v>
      </c>
    </row>
    <row r="51" customFormat="false" ht="15" hidden="false" customHeight="true" outlineLevel="0" collapsed="false">
      <c r="A51" s="26" t="str">
        <f aca="false">A18</f>
        <v>Local capture of attendee spending</v>
      </c>
      <c r="B51" s="28" t="n">
        <f aca="false">IF($B$5="Conservative",B18,IF($B$5="High",D18,C18))</f>
        <v>0.82</v>
      </c>
      <c r="C51" s="26" t="str">
        <f aca="false">E18</f>
        <v>%</v>
      </c>
    </row>
    <row r="52" customFormat="false" ht="15" hidden="false" customHeight="true" outlineLevel="0" collapsed="false">
      <c r="A52" s="26" t="str">
        <f aca="false">A19</f>
        <v>Economic output multiplier</v>
      </c>
      <c r="B52" s="31" t="n">
        <f aca="false">IF($B$5="Conservative",B19,IF($B$5="High",D19,C19))</f>
        <v>1.42</v>
      </c>
      <c r="C52" s="26" t="str">
        <f aca="false">E19</f>
        <v>x</v>
      </c>
    </row>
    <row r="53" customFormat="false" ht="15" hidden="false" customHeight="true" outlineLevel="0" collapsed="false">
      <c r="A53" s="26" t="str">
        <f aca="false">A20</f>
        <v>Value-added share of total output</v>
      </c>
      <c r="B53" s="28" t="n">
        <f aca="false">IF($B$5="Conservative",B20,IF($B$5="High",D20,C20))</f>
        <v>0.54</v>
      </c>
      <c r="C53" s="26" t="str">
        <f aca="false">E20</f>
        <v>%</v>
      </c>
    </row>
    <row r="54" customFormat="false" ht="15" hidden="false" customHeight="true" outlineLevel="0" collapsed="false">
      <c r="A54" s="26" t="str">
        <f aca="false">A21</f>
        <v>Labor-income share of total output</v>
      </c>
      <c r="B54" s="28" t="n">
        <f aca="false">IF($B$5="Conservative",B21,IF($B$5="High",D21,C21))</f>
        <v>0.34</v>
      </c>
      <c r="C54" s="26" t="str">
        <f aca="false">E21</f>
        <v>%</v>
      </c>
    </row>
    <row r="55" customFormat="false" ht="15" hidden="false" customHeight="true" outlineLevel="0" collapsed="false">
      <c r="A55" s="26" t="str">
        <f aca="false">A22</f>
        <v>Sales-tax effective rate</v>
      </c>
      <c r="B55" s="28" t="n">
        <f aca="false">IF($B$5="Conservative",B22,IF($B$5="High",D22,C22))</f>
        <v>0.009</v>
      </c>
      <c r="C55" s="26" t="str">
        <f aca="false">E22</f>
        <v>% of taxable sales</v>
      </c>
    </row>
    <row r="56" customFormat="false" ht="15" hidden="false" customHeight="true" outlineLevel="0" collapsed="false">
      <c r="A56" s="26" t="str">
        <f aca="false">A23</f>
        <v>Taxable share of incremental spending</v>
      </c>
      <c r="B56" s="28" t="n">
        <f aca="false">IF($B$5="Conservative",B23,IF($B$5="High",D23,C23))</f>
        <v>0.72</v>
      </c>
      <c r="C56" s="26" t="str">
        <f aca="false">E23</f>
        <v>%</v>
      </c>
    </row>
    <row r="57" customFormat="false" ht="15" hidden="false" customHeight="true" outlineLevel="0" collapsed="false">
      <c r="A57" s="26" t="str">
        <f aca="false">A24</f>
        <v>City service cost</v>
      </c>
      <c r="B57" s="29" t="n">
        <f aca="false">IF($B$5="Conservative",B24,IF($B$5="High",D24,C24))</f>
        <v>110000</v>
      </c>
      <c r="C57" s="26" t="str">
        <f aca="false">E24</f>
        <v>$</v>
      </c>
    </row>
    <row r="58" customFormat="false" ht="15" hidden="false" customHeight="true" outlineLevel="0" collapsed="false">
      <c r="A58" s="26" t="str">
        <f aca="false">A25</f>
        <v>Permit and organizer fees paid to City</v>
      </c>
      <c r="B58" s="29" t="n">
        <f aca="false">IF($B$5="Conservative",B25,IF($B$5="High",D25,C25))</f>
        <v>45000</v>
      </c>
      <c r="C58" s="26" t="str">
        <f aca="false">E25</f>
        <v>$</v>
      </c>
    </row>
    <row r="59" customFormat="false" ht="15" hidden="false" customHeight="true" outlineLevel="0" collapsed="false">
      <c r="A59" s="26" t="str">
        <f aca="false">A26</f>
        <v>Parking price per vehicle</v>
      </c>
      <c r="B59" s="29" t="n">
        <f aca="false">IF($B$5="Conservative",B26,IF($B$5="High",D26,C26))</f>
        <v>15</v>
      </c>
      <c r="C59" s="26" t="str">
        <f aca="false">E26</f>
        <v>$</v>
      </c>
    </row>
    <row r="60" customFormat="false" ht="15" hidden="false" customHeight="true" outlineLevel="0" collapsed="false">
      <c r="A60" s="26" t="str">
        <f aca="false">A27</f>
        <v>Parking revenue retained by City</v>
      </c>
      <c r="B60" s="28" t="n">
        <f aca="false">IF($B$5="Conservative",B27,IF($B$5="High",D27,C27))</f>
        <v>0.85</v>
      </c>
      <c r="C60" s="26" t="str">
        <f aca="false">E27</f>
        <v>%</v>
      </c>
    </row>
    <row r="61" customFormat="false" ht="15" hidden="false" customHeight="true" outlineLevel="0" collapsed="false">
      <c r="A61" s="26" t="str">
        <f aca="false">A28</f>
        <v>Auto mode share</v>
      </c>
      <c r="B61" s="28" t="n">
        <f aca="false">IF($B$5="Conservative",B28,IF($B$5="High",D28,C28))</f>
        <v>0.62</v>
      </c>
      <c r="C61" s="26" t="str">
        <f aca="false">E28</f>
        <v>%</v>
      </c>
    </row>
    <row r="62" customFormat="false" ht="15" hidden="false" customHeight="true" outlineLevel="0" collapsed="false">
      <c r="A62" s="26" t="str">
        <f aca="false">A29</f>
        <v>Average vehicle occupancy</v>
      </c>
      <c r="B62" s="30" t="n">
        <f aca="false">IF($B$5="Conservative",B29,IF($B$5="High",D29,C29))</f>
        <v>2.4</v>
      </c>
      <c r="C62" s="26" t="str">
        <f aca="false">E29</f>
        <v>people/vehicle</v>
      </c>
    </row>
    <row r="63" customFormat="false" ht="15" hidden="false" customHeight="true" outlineLevel="0" collapsed="false">
      <c r="A63" s="26" t="str">
        <f aca="false">A30</f>
        <v>Average round-trip miles</v>
      </c>
      <c r="B63" s="27" t="n">
        <f aca="false">IF($B$5="Conservative",B30,IF($B$5="High",D30,C30))</f>
        <v>34</v>
      </c>
      <c r="C63" s="26" t="str">
        <f aca="false">E30</f>
        <v>miles/vehicle</v>
      </c>
    </row>
    <row r="64" customFormat="false" ht="15" hidden="false" customHeight="true" outlineLevel="0" collapsed="false">
      <c r="A64" s="26" t="str">
        <f aca="false">A31</f>
        <v>Transit mode share</v>
      </c>
      <c r="B64" s="28" t="n">
        <f aca="false">IF($B$5="Conservative",B31,IF($B$5="High",D31,C31))</f>
        <v>0.15</v>
      </c>
      <c r="C64" s="26" t="str">
        <f aca="false">E31</f>
        <v>%</v>
      </c>
    </row>
    <row r="65" customFormat="false" ht="15" hidden="false" customHeight="true" outlineLevel="0" collapsed="false">
      <c r="A65" s="26" t="str">
        <f aca="false">A32</f>
        <v>Bike/walk mode share</v>
      </c>
      <c r="B65" s="28" t="n">
        <f aca="false">IF($B$5="Conservative",B32,IF($B$5="High",D32,C32))</f>
        <v>0.17</v>
      </c>
      <c r="C65" s="26" t="str">
        <f aca="false">E32</f>
        <v>%</v>
      </c>
    </row>
    <row r="66" customFormat="false" ht="15" hidden="false" customHeight="true" outlineLevel="0" collapsed="false">
      <c r="A66" s="26" t="str">
        <f aca="false">A33</f>
        <v>Vehicle emissions factor</v>
      </c>
      <c r="B66" s="28" t="n">
        <f aca="false">IF($B$5="Conservative",B33,IF($B$5="High",D33,C33))</f>
        <v>0.00033</v>
      </c>
      <c r="C66" s="26" t="str">
        <f aca="false">E33</f>
        <v>metric tons CO2e/mile</v>
      </c>
    </row>
    <row r="67" customFormat="false" ht="15" hidden="false" customHeight="true" outlineLevel="0" collapsed="false">
      <c r="A67" s="26" t="str">
        <f aca="false">A34</f>
        <v>Waste per attendee</v>
      </c>
      <c r="B67" s="28" t="n">
        <f aca="false">IF($B$5="Conservative",B34,IF($B$5="High",D34,C34))</f>
        <v>0.6</v>
      </c>
      <c r="C67" s="26" t="str">
        <f aca="false">E34</f>
        <v>lb/person</v>
      </c>
    </row>
    <row r="68" customFormat="false" ht="15" hidden="false" customHeight="true" outlineLevel="0" collapsed="false">
      <c r="A68" s="26" t="str">
        <f aca="false">A35</f>
        <v>Waste diversion rate</v>
      </c>
      <c r="B68" s="28" t="n">
        <f aca="false">IF($B$5="Conservative",B35,IF($B$5="High",D35,C35))</f>
        <v>0.6</v>
      </c>
      <c r="C68" s="26" t="str">
        <f aca="false">E35</f>
        <v>%</v>
      </c>
    </row>
    <row r="69" customFormat="false" ht="15" hidden="false" customHeight="true" outlineLevel="0" collapsed="false">
      <c r="A69" s="26" t="str">
        <f aca="false">A36</f>
        <v>Weather realization factor</v>
      </c>
      <c r="B69" s="28" t="n">
        <f aca="false">IF($B$5="Conservative",B36,IF($B$5="High",D36,C36))</f>
        <v>0.92</v>
      </c>
      <c r="C69" s="26" t="str">
        <f aca="false">E36</f>
        <v>% of planned attendance</v>
      </c>
    </row>
    <row r="70" customFormat="false" ht="15" hidden="false" customHeight="true" outlineLevel="0" collapsed="false">
      <c r="A70" s="26" t="str">
        <f aca="false">A37</f>
        <v>Displaced local spending</v>
      </c>
      <c r="B70" s="29" t="n">
        <f aca="false">IF($B$5="Conservative",B37,IF($B$5="High",D37,C37))</f>
        <v>35000</v>
      </c>
      <c r="C70" s="26" t="str">
        <f aca="false">E37</f>
        <v>$</v>
      </c>
    </row>
  </sheetData>
  <mergeCells count="4">
    <mergeCell ref="A1:G1"/>
    <mergeCell ref="A2:G2"/>
    <mergeCell ref="A4:G4"/>
    <mergeCell ref="A40:G40"/>
  </mergeCells>
  <dataValidations count="1">
    <dataValidation allowBlank="false" errorStyle="stop" operator="between" showDropDown="false" showErrorMessage="false" showInputMessage="false" sqref="B5" type="list">
      <formula1>"Conservative,Central,High"</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42"/>
    <col collapsed="false" customWidth="true" hidden="false" outlineLevel="0" max="3" min="2" style="1" width="18"/>
    <col collapsed="false" customWidth="true" hidden="false" outlineLevel="0" max="4" min="4" style="1" width="46"/>
    <col collapsed="false" customWidth="true" hidden="false" outlineLevel="0" max="7" min="5" style="1" width="16"/>
  </cols>
  <sheetData>
    <row r="1" customFormat="false" ht="25.5" hidden="false" customHeight="true" outlineLevel="0" collapsed="false">
      <c r="A1" s="2" t="s">
        <v>99</v>
      </c>
      <c r="B1" s="2"/>
      <c r="C1" s="2"/>
      <c r="D1" s="2"/>
      <c r="E1" s="2"/>
      <c r="F1" s="2"/>
      <c r="G1" s="2"/>
    </row>
    <row r="2" customFormat="false" ht="30" hidden="false" customHeight="true" outlineLevel="0" collapsed="false">
      <c r="A2" s="3" t="s">
        <v>100</v>
      </c>
      <c r="B2" s="3"/>
      <c r="C2" s="3"/>
      <c r="D2" s="3"/>
      <c r="E2" s="3"/>
      <c r="F2" s="3"/>
      <c r="G2" s="3"/>
    </row>
    <row r="4" customFormat="false" ht="15" hidden="false" customHeight="true" outlineLevel="0" collapsed="false">
      <c r="A4" s="11" t="s">
        <v>101</v>
      </c>
      <c r="B4" s="11"/>
      <c r="C4" s="11"/>
      <c r="D4" s="11"/>
      <c r="E4" s="11"/>
      <c r="F4" s="11"/>
      <c r="G4" s="11"/>
    </row>
    <row r="5" customFormat="false" ht="15" hidden="false" customHeight="true" outlineLevel="0" collapsed="false">
      <c r="A5" s="14" t="s">
        <v>6</v>
      </c>
      <c r="B5" s="32" t="n">
        <f aca="false">Controls!B42*Controls!B69</f>
        <v>32200</v>
      </c>
      <c r="C5" s="18" t="s">
        <v>102</v>
      </c>
    </row>
    <row r="6" customFormat="false" ht="15" hidden="false" customHeight="true" outlineLevel="0" collapsed="false">
      <c r="A6" s="14" t="s">
        <v>103</v>
      </c>
      <c r="B6" s="32" t="n">
        <f aca="false">B5*Controls!B43</f>
        <v>11270</v>
      </c>
    </row>
    <row r="7" customFormat="false" ht="15" hidden="false" customHeight="true" outlineLevel="0" collapsed="false">
      <c r="A7" s="14" t="s">
        <v>104</v>
      </c>
      <c r="B7" s="32" t="n">
        <f aca="false">B5-B6</f>
        <v>20930</v>
      </c>
    </row>
    <row r="8" customFormat="false" ht="15" hidden="false" customHeight="true" outlineLevel="0" collapsed="false">
      <c r="A8" s="14" t="s">
        <v>105</v>
      </c>
      <c r="B8" s="32" t="n">
        <f aca="false">B6*Controls!B45</f>
        <v>1352.4</v>
      </c>
    </row>
    <row r="9" customFormat="false" ht="15" hidden="false" customHeight="true" outlineLevel="0" collapsed="false">
      <c r="A9" s="14" t="s">
        <v>106</v>
      </c>
      <c r="B9" s="32" t="n">
        <f aca="false">B7*Controls!B44</f>
        <v>16325.4</v>
      </c>
    </row>
    <row r="10" customFormat="false" ht="15" hidden="false" customHeight="true" outlineLevel="0" collapsed="false">
      <c r="A10" s="14" t="s">
        <v>107</v>
      </c>
      <c r="B10" s="32" t="n">
        <f aca="false">B7*Controls!B48</f>
        <v>1046.5</v>
      </c>
    </row>
    <row r="12" customFormat="false" ht="15" hidden="false" customHeight="true" outlineLevel="0" collapsed="false">
      <c r="A12" s="11" t="s">
        <v>108</v>
      </c>
      <c r="B12" s="11"/>
      <c r="C12" s="11"/>
      <c r="D12" s="11"/>
      <c r="E12" s="11"/>
      <c r="F12" s="11"/>
      <c r="G12" s="11"/>
    </row>
    <row r="13" customFormat="false" ht="15" hidden="false" customHeight="true" outlineLevel="0" collapsed="false">
      <c r="A13" s="14" t="s">
        <v>109</v>
      </c>
      <c r="B13" s="15" t="n">
        <f aca="false">B8*Controls!B46*Controls!B51</f>
        <v>27724.2</v>
      </c>
    </row>
    <row r="14" customFormat="false" ht="15" hidden="false" customHeight="true" outlineLevel="0" collapsed="false">
      <c r="A14" s="14" t="s">
        <v>110</v>
      </c>
      <c r="B14" s="15" t="n">
        <f aca="false">(B9-B10)*Controls!B47*Controls!B51</f>
        <v>651492.296</v>
      </c>
    </row>
    <row r="15" customFormat="false" ht="15" hidden="false" customHeight="true" outlineLevel="0" collapsed="false">
      <c r="A15" s="14" t="s">
        <v>111</v>
      </c>
      <c r="B15" s="15" t="n">
        <f aca="false">B10/Controls!B50*Controls!B49*Controls!B51</f>
        <v>79377.025</v>
      </c>
    </row>
    <row r="16" customFormat="false" ht="15" hidden="false" customHeight="true" outlineLevel="0" collapsed="false">
      <c r="A16" s="14" t="s">
        <v>112</v>
      </c>
      <c r="B16" s="29" t="n">
        <f aca="false">SUM(B13:B15)</f>
        <v>758593.521</v>
      </c>
    </row>
    <row r="17" customFormat="false" ht="15" hidden="false" customHeight="true" outlineLevel="0" collapsed="false">
      <c r="A17" s="14" t="s">
        <v>113</v>
      </c>
      <c r="B17" s="15" t="n">
        <f aca="false">-Controls!B70</f>
        <v>-35000</v>
      </c>
    </row>
    <row r="18" customFormat="false" ht="15" hidden="false" customHeight="true" outlineLevel="0" collapsed="false">
      <c r="A18" s="33" t="s">
        <v>114</v>
      </c>
      <c r="B18" s="34" t="n">
        <f aca="false">SUM(B16:B17)</f>
        <v>723593.521</v>
      </c>
    </row>
    <row r="20" customFormat="false" ht="15" hidden="false" customHeight="true" outlineLevel="0" collapsed="false">
      <c r="A20" s="11" t="s">
        <v>115</v>
      </c>
      <c r="B20" s="11"/>
      <c r="C20" s="11"/>
      <c r="D20" s="11"/>
      <c r="E20" s="11"/>
      <c r="F20" s="11"/>
      <c r="G20" s="11"/>
    </row>
    <row r="21" customFormat="false" ht="15" hidden="false" customHeight="true" outlineLevel="0" collapsed="false">
      <c r="A21" s="14" t="s">
        <v>5</v>
      </c>
      <c r="B21" s="15" t="n">
        <f aca="false">B18*Controls!B52</f>
        <v>1027502.79982</v>
      </c>
    </row>
    <row r="22" customFormat="false" ht="15" hidden="false" customHeight="true" outlineLevel="0" collapsed="false">
      <c r="A22" s="14" t="s">
        <v>116</v>
      </c>
      <c r="B22" s="15" t="n">
        <f aca="false">B21*Controls!B53</f>
        <v>554851.5119028</v>
      </c>
    </row>
    <row r="23" customFormat="false" ht="15" hidden="false" customHeight="true" outlineLevel="0" collapsed="false">
      <c r="A23" s="14" t="s">
        <v>117</v>
      </c>
      <c r="B23" s="15" t="n">
        <f aca="false">B21*Controls!B54</f>
        <v>349350.9519388</v>
      </c>
    </row>
    <row r="24" customFormat="false" ht="15" hidden="false" customHeight="true" outlineLevel="0" collapsed="false">
      <c r="A24" s="14" t="s">
        <v>118</v>
      </c>
      <c r="B24" s="29" t="n">
        <f aca="false">B21-B18</f>
        <v>303909.27882</v>
      </c>
    </row>
    <row r="26" customFormat="false" ht="15" hidden="false" customHeight="true" outlineLevel="0" collapsed="false">
      <c r="A26" s="11" t="s">
        <v>119</v>
      </c>
      <c r="B26" s="11"/>
      <c r="C26" s="11"/>
      <c r="D26" s="11"/>
      <c r="E26" s="11"/>
      <c r="F26" s="11"/>
      <c r="G26" s="11"/>
    </row>
    <row r="27" customFormat="false" ht="15" hidden="false" customHeight="true" outlineLevel="0" collapsed="false">
      <c r="A27" s="14" t="s">
        <v>120</v>
      </c>
      <c r="B27" s="15" t="n">
        <f aca="false">B18*Controls!B56</f>
        <v>520987.33512</v>
      </c>
    </row>
    <row r="28" customFormat="false" ht="15" hidden="false" customHeight="true" outlineLevel="0" collapsed="false">
      <c r="A28" s="14" t="s">
        <v>121</v>
      </c>
      <c r="B28" s="15" t="n">
        <f aca="false">B27*Controls!B55</f>
        <v>4688.88601608</v>
      </c>
    </row>
  </sheetData>
  <mergeCells count="6">
    <mergeCell ref="A1:G1"/>
    <mergeCell ref="A2:G2"/>
    <mergeCell ref="A4:G4"/>
    <mergeCell ref="A12:G12"/>
    <mergeCell ref="A20:G20"/>
    <mergeCell ref="A26:G2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42"/>
    <col collapsed="false" customWidth="true" hidden="false" outlineLevel="0" max="3" min="2" style="1" width="18"/>
    <col collapsed="false" customWidth="true" hidden="false" outlineLevel="0" max="4" min="4" style="1" width="52"/>
    <col collapsed="false" customWidth="true" hidden="false" outlineLevel="0" max="7" min="5" style="1" width="16"/>
  </cols>
  <sheetData>
    <row r="1" customFormat="false" ht="25.5" hidden="false" customHeight="true" outlineLevel="0" collapsed="false">
      <c r="A1" s="2" t="s">
        <v>122</v>
      </c>
      <c r="B1" s="2"/>
      <c r="C1" s="2"/>
      <c r="D1" s="2"/>
      <c r="E1" s="2"/>
      <c r="F1" s="2"/>
      <c r="G1" s="2"/>
    </row>
    <row r="2" customFormat="false" ht="30" hidden="false" customHeight="true" outlineLevel="0" collapsed="false">
      <c r="A2" s="3" t="s">
        <v>123</v>
      </c>
      <c r="B2" s="3"/>
      <c r="C2" s="3"/>
      <c r="D2" s="3"/>
      <c r="E2" s="3"/>
      <c r="F2" s="3"/>
      <c r="G2" s="3"/>
    </row>
    <row r="4" customFormat="false" ht="15" hidden="false" customHeight="true" outlineLevel="0" collapsed="false">
      <c r="A4" s="11" t="s">
        <v>124</v>
      </c>
      <c r="B4" s="11"/>
      <c r="C4" s="11"/>
      <c r="D4" s="11"/>
      <c r="E4" s="11"/>
      <c r="F4" s="11"/>
      <c r="G4" s="11"/>
    </row>
    <row r="5" customFormat="false" ht="15" hidden="false" customHeight="true" outlineLevel="0" collapsed="false">
      <c r="A5" s="14" t="s">
        <v>125</v>
      </c>
      <c r="B5" s="15" t="n">
        <f aca="false">Controls!B58</f>
        <v>45000</v>
      </c>
    </row>
    <row r="6" customFormat="false" ht="15" hidden="false" customHeight="true" outlineLevel="0" collapsed="false">
      <c r="A6" s="14" t="s">
        <v>126</v>
      </c>
      <c r="B6" s="15" t="n">
        <f aca="false">'Visitor Economics'!B28</f>
        <v>4688.88601608</v>
      </c>
    </row>
    <row r="7" customFormat="false" ht="15" hidden="false" customHeight="true" outlineLevel="0" collapsed="false">
      <c r="A7" s="14" t="s">
        <v>127</v>
      </c>
      <c r="B7" s="32" t="n">
        <f aca="false">'Mobility &amp; Emissions'!B8</f>
        <v>8318.33333333333</v>
      </c>
    </row>
    <row r="8" customFormat="false" ht="15" hidden="false" customHeight="true" outlineLevel="0" collapsed="false">
      <c r="A8" s="14" t="s">
        <v>128</v>
      </c>
      <c r="B8" s="15" t="n">
        <f aca="false">B7*Controls!B59</f>
        <v>124775</v>
      </c>
    </row>
    <row r="9" customFormat="false" ht="15" hidden="false" customHeight="true" outlineLevel="0" collapsed="false">
      <c r="A9" s="14" t="s">
        <v>129</v>
      </c>
      <c r="B9" s="15" t="n">
        <f aca="false">B8*Controls!B60</f>
        <v>106058.75</v>
      </c>
    </row>
    <row r="10" customFormat="false" ht="15" hidden="false" customHeight="true" outlineLevel="0" collapsed="false">
      <c r="A10" s="33" t="s">
        <v>130</v>
      </c>
      <c r="B10" s="34" t="n">
        <f aca="false">SUM(B5:B6,B9)</f>
        <v>155747.63601608</v>
      </c>
    </row>
    <row r="12" customFormat="false" ht="15" hidden="false" customHeight="true" outlineLevel="0" collapsed="false">
      <c r="A12" s="11" t="s">
        <v>131</v>
      </c>
      <c r="B12" s="11"/>
      <c r="C12" s="11"/>
      <c r="D12" s="11"/>
      <c r="E12" s="11"/>
      <c r="F12" s="11"/>
      <c r="G12" s="11"/>
    </row>
    <row r="13" customFormat="false" ht="15" hidden="false" customHeight="true" outlineLevel="0" collapsed="false">
      <c r="A13" s="14" t="s">
        <v>132</v>
      </c>
      <c r="B13" s="15" t="n">
        <f aca="false">Controls!B57</f>
        <v>110000</v>
      </c>
    </row>
    <row r="14" customFormat="false" ht="15" hidden="false" customHeight="true" outlineLevel="0" collapsed="false">
      <c r="A14" s="14" t="s">
        <v>133</v>
      </c>
      <c r="B14" s="29" t="n">
        <f aca="false">$B$13*0.35</f>
        <v>38500</v>
      </c>
      <c r="C14" s="21" t="n">
        <v>0.35</v>
      </c>
    </row>
    <row r="15" customFormat="false" ht="15" hidden="false" customHeight="true" outlineLevel="0" collapsed="false">
      <c r="A15" s="14" t="s">
        <v>134</v>
      </c>
      <c r="B15" s="29" t="n">
        <f aca="false">$B$13*0.12</f>
        <v>13200</v>
      </c>
      <c r="C15" s="21" t="n">
        <v>0.12</v>
      </c>
    </row>
    <row r="16" customFormat="false" ht="15" hidden="false" customHeight="true" outlineLevel="0" collapsed="false">
      <c r="A16" s="14" t="s">
        <v>135</v>
      </c>
      <c r="B16" s="29" t="n">
        <f aca="false">$B$13*0.18</f>
        <v>19800</v>
      </c>
      <c r="C16" s="21" t="n">
        <v>0.18</v>
      </c>
    </row>
    <row r="17" customFormat="false" ht="15" hidden="false" customHeight="true" outlineLevel="0" collapsed="false">
      <c r="A17" s="14" t="s">
        <v>136</v>
      </c>
      <c r="B17" s="29" t="n">
        <f aca="false">$B$13*0.18</f>
        <v>19800</v>
      </c>
      <c r="C17" s="21" t="n">
        <v>0.18</v>
      </c>
    </row>
    <row r="18" customFormat="false" ht="15" hidden="false" customHeight="true" outlineLevel="0" collapsed="false">
      <c r="A18" s="14" t="s">
        <v>137</v>
      </c>
      <c r="B18" s="29" t="n">
        <f aca="false">$B$13*0.12</f>
        <v>13200</v>
      </c>
      <c r="C18" s="21" t="n">
        <v>0.12</v>
      </c>
    </row>
    <row r="19" customFormat="false" ht="15" hidden="false" customHeight="true" outlineLevel="0" collapsed="false">
      <c r="A19" s="14" t="s">
        <v>138</v>
      </c>
      <c r="B19" s="29" t="n">
        <f aca="false">$B$13*0.05</f>
        <v>5500</v>
      </c>
      <c r="C19" s="21" t="n">
        <v>0.05</v>
      </c>
    </row>
    <row r="20" customFormat="false" ht="15" hidden="false" customHeight="true" outlineLevel="0" collapsed="false">
      <c r="A20" s="33" t="s">
        <v>139</v>
      </c>
      <c r="B20" s="13" t="n">
        <f aca="false">SUM(B14:B19)</f>
        <v>110000</v>
      </c>
      <c r="C20" s="35" t="n">
        <f aca="false">SUM(C14:C19)</f>
        <v>1</v>
      </c>
    </row>
    <row r="22" customFormat="false" ht="15" hidden="false" customHeight="true" outlineLevel="0" collapsed="false">
      <c r="A22" s="11" t="s">
        <v>140</v>
      </c>
      <c r="B22" s="11"/>
      <c r="C22" s="11"/>
      <c r="D22" s="11"/>
      <c r="E22" s="11"/>
      <c r="F22" s="11"/>
      <c r="G22" s="11"/>
    </row>
    <row r="23" customFormat="false" ht="15" hidden="false" customHeight="true" outlineLevel="0" collapsed="false">
      <c r="A23" s="14" t="s">
        <v>141</v>
      </c>
      <c r="B23" s="36" t="n">
        <f aca="false">B10-B13</f>
        <v>45747.63601608</v>
      </c>
      <c r="C23" s="18" t="s">
        <v>142</v>
      </c>
    </row>
    <row r="24" customFormat="false" ht="15" hidden="false" customHeight="true" outlineLevel="0" collapsed="false">
      <c r="A24" s="14" t="s">
        <v>143</v>
      </c>
      <c r="B24" s="29" t="n">
        <f aca="false">IF('Visitor Economics'!B5=0,0,-MIN(B23,0)/'Visitor Economics'!B5)</f>
        <v>-0</v>
      </c>
    </row>
    <row r="25" customFormat="false" ht="15" hidden="false" customHeight="true" outlineLevel="0" collapsed="false">
      <c r="A25" s="14" t="s">
        <v>144</v>
      </c>
      <c r="B25" s="28" t="n">
        <f aca="false">IF(B13=0,0,B10/B13)</f>
        <v>1.41588760014618</v>
      </c>
    </row>
  </sheetData>
  <mergeCells count="5">
    <mergeCell ref="A1:G1"/>
    <mergeCell ref="A2:G2"/>
    <mergeCell ref="A4:G4"/>
    <mergeCell ref="A12:G12"/>
    <mergeCell ref="A22:G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42"/>
    <col collapsed="false" customWidth="true" hidden="false" outlineLevel="0" max="3" min="2" style="1" width="18"/>
    <col collapsed="false" customWidth="true" hidden="false" outlineLevel="0" max="4" min="4" style="1" width="48"/>
    <col collapsed="false" customWidth="true" hidden="false" outlineLevel="0" max="7" min="5" style="1" width="16"/>
  </cols>
  <sheetData>
    <row r="1" customFormat="false" ht="25.5" hidden="false" customHeight="true" outlineLevel="0" collapsed="false">
      <c r="A1" s="2" t="s">
        <v>145</v>
      </c>
      <c r="B1" s="2"/>
      <c r="C1" s="2"/>
      <c r="D1" s="2"/>
      <c r="E1" s="2"/>
      <c r="F1" s="2"/>
      <c r="G1" s="2"/>
    </row>
    <row r="2" customFormat="false" ht="30" hidden="false" customHeight="true" outlineLevel="0" collapsed="false">
      <c r="A2" s="3" t="s">
        <v>146</v>
      </c>
      <c r="B2" s="3"/>
      <c r="C2" s="3"/>
      <c r="D2" s="3"/>
      <c r="E2" s="3"/>
      <c r="F2" s="3"/>
      <c r="G2" s="3"/>
    </row>
    <row r="4" customFormat="false" ht="15" hidden="false" customHeight="true" outlineLevel="0" collapsed="false">
      <c r="A4" s="11" t="s">
        <v>147</v>
      </c>
      <c r="B4" s="11"/>
      <c r="C4" s="11"/>
      <c r="D4" s="11"/>
      <c r="E4" s="11"/>
      <c r="F4" s="11"/>
      <c r="G4" s="11"/>
    </row>
    <row r="5" customFormat="false" ht="15" hidden="false" customHeight="true" outlineLevel="0" collapsed="false">
      <c r="A5" s="14" t="s">
        <v>6</v>
      </c>
      <c r="B5" s="32" t="n">
        <f aca="false">'Visitor Economics'!B5</f>
        <v>32200</v>
      </c>
    </row>
    <row r="6" customFormat="false" ht="15" hidden="false" customHeight="true" outlineLevel="0" collapsed="false">
      <c r="A6" s="14" t="s">
        <v>148</v>
      </c>
      <c r="B6" s="32" t="n">
        <f aca="false">B5*Controls!B61</f>
        <v>19964</v>
      </c>
    </row>
    <row r="7" customFormat="false" ht="15" hidden="false" customHeight="true" outlineLevel="0" collapsed="false">
      <c r="A7" s="14" t="s">
        <v>77</v>
      </c>
      <c r="B7" s="37" t="n">
        <f aca="false">Controls!B62</f>
        <v>2.4</v>
      </c>
    </row>
    <row r="8" customFormat="false" ht="15" hidden="false" customHeight="true" outlineLevel="0" collapsed="false">
      <c r="A8" s="14" t="s">
        <v>7</v>
      </c>
      <c r="B8" s="27" t="n">
        <f aca="false">IF(B7=0,0,B6/B7)</f>
        <v>8318.33333333333</v>
      </c>
    </row>
    <row r="9" customFormat="false" ht="15" hidden="false" customHeight="true" outlineLevel="0" collapsed="false">
      <c r="A9" s="14" t="s">
        <v>149</v>
      </c>
      <c r="B9" s="32" t="n">
        <f aca="false">B5*Controls!B64</f>
        <v>4830</v>
      </c>
    </row>
    <row r="10" customFormat="false" ht="15" hidden="false" customHeight="true" outlineLevel="0" collapsed="false">
      <c r="A10" s="14" t="s">
        <v>150</v>
      </c>
      <c r="B10" s="32" t="n">
        <f aca="false">B5*Controls!B65</f>
        <v>5474</v>
      </c>
    </row>
    <row r="11" customFormat="false" ht="15" hidden="false" customHeight="true" outlineLevel="0" collapsed="false">
      <c r="A11" s="14" t="s">
        <v>151</v>
      </c>
      <c r="B11" s="27" t="n">
        <f aca="false">MAX(0,B5-B6-B9-B10)</f>
        <v>1932</v>
      </c>
    </row>
    <row r="13" customFormat="false" ht="15" hidden="false" customHeight="true" outlineLevel="0" collapsed="false">
      <c r="A13" s="11" t="s">
        <v>152</v>
      </c>
      <c r="B13" s="11"/>
      <c r="C13" s="11"/>
      <c r="D13" s="11"/>
      <c r="E13" s="11"/>
      <c r="F13" s="11"/>
      <c r="G13" s="11"/>
    </row>
    <row r="14" customFormat="false" ht="15" hidden="false" customHeight="true" outlineLevel="0" collapsed="false">
      <c r="A14" s="14" t="s">
        <v>153</v>
      </c>
      <c r="B14" s="38" t="n">
        <v>2000</v>
      </c>
      <c r="C14" s="14" t="s">
        <v>154</v>
      </c>
      <c r="D14" s="18" t="s">
        <v>155</v>
      </c>
    </row>
    <row r="15" customFormat="false" ht="15" hidden="false" customHeight="true" outlineLevel="0" collapsed="false">
      <c r="A15" s="14" t="s">
        <v>156</v>
      </c>
      <c r="B15" s="27" t="n">
        <f aca="false">B8*0.72</f>
        <v>5989.2</v>
      </c>
      <c r="C15" s="18" t="s">
        <v>157</v>
      </c>
    </row>
    <row r="16" customFormat="false" ht="15" hidden="false" customHeight="true" outlineLevel="0" collapsed="false">
      <c r="A16" s="14" t="s">
        <v>11</v>
      </c>
      <c r="B16" s="39" t="n">
        <f aca="false">B14-B15</f>
        <v>-3989.2</v>
      </c>
    </row>
    <row r="17" customFormat="false" ht="15" hidden="false" customHeight="true" outlineLevel="0" collapsed="false">
      <c r="A17" s="14" t="s">
        <v>158</v>
      </c>
      <c r="B17" s="28" t="n">
        <f aca="false">IF(B14=0,0,B15/B14)</f>
        <v>2.9946</v>
      </c>
    </row>
    <row r="19" customFormat="false" ht="15" hidden="false" customHeight="true" outlineLevel="0" collapsed="false">
      <c r="A19" s="11" t="s">
        <v>159</v>
      </c>
      <c r="B19" s="11"/>
      <c r="C19" s="11"/>
      <c r="D19" s="11"/>
      <c r="E19" s="11"/>
      <c r="F19" s="11"/>
      <c r="G19" s="11"/>
    </row>
    <row r="20" customFormat="false" ht="15" hidden="false" customHeight="true" outlineLevel="0" collapsed="false">
      <c r="A20" s="14" t="s">
        <v>160</v>
      </c>
      <c r="B20" s="32" t="n">
        <f aca="false">B8*Controls!B63</f>
        <v>282823.333333333</v>
      </c>
    </row>
    <row r="21" customFormat="false" ht="15" hidden="false" customHeight="true" outlineLevel="0" collapsed="false">
      <c r="A21" s="14" t="s">
        <v>8</v>
      </c>
      <c r="B21" s="40" t="n">
        <f aca="false">B20*Controls!B66</f>
        <v>93.3317</v>
      </c>
      <c r="C21" s="18" t="s">
        <v>161</v>
      </c>
    </row>
    <row r="22" customFormat="false" ht="15" hidden="false" customHeight="true" outlineLevel="0" collapsed="false">
      <c r="A22" s="14" t="s">
        <v>162</v>
      </c>
      <c r="B22" s="37" t="n">
        <f aca="false">B5*Controls!B67/2000</f>
        <v>9.66</v>
      </c>
      <c r="C22" s="18" t="s">
        <v>163</v>
      </c>
    </row>
    <row r="23" customFormat="false" ht="15" hidden="false" customHeight="true" outlineLevel="0" collapsed="false">
      <c r="A23" s="14" t="s">
        <v>164</v>
      </c>
      <c r="B23" s="37" t="n">
        <f aca="false">B22*(1-Controls!B68)</f>
        <v>3.864</v>
      </c>
      <c r="C23" s="18" t="s">
        <v>163</v>
      </c>
    </row>
    <row r="24" customFormat="false" ht="15" hidden="false" customHeight="true" outlineLevel="0" collapsed="false">
      <c r="A24" s="14" t="s">
        <v>165</v>
      </c>
      <c r="B24" s="37" t="n">
        <f aca="false">B22*Controls!B68</f>
        <v>5.796</v>
      </c>
      <c r="C24" s="18" t="s">
        <v>163</v>
      </c>
    </row>
  </sheetData>
  <mergeCells count="5">
    <mergeCell ref="A1:G1"/>
    <mergeCell ref="A2:G2"/>
    <mergeCell ref="A4:G4"/>
    <mergeCell ref="A13:G13"/>
    <mergeCell ref="A19:G1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4"/>
    <col collapsed="false" customWidth="true" hidden="false" outlineLevel="0" max="4" min="2" style="1" width="16"/>
    <col collapsed="false" customWidth="true" hidden="false" outlineLevel="0" max="5" min="5" style="1" width="18"/>
    <col collapsed="false" customWidth="true" hidden="false" outlineLevel="0" max="6" min="6" style="1" width="48"/>
    <col collapsed="false" customWidth="true" hidden="false" outlineLevel="0" max="8" min="7" style="1" width="16"/>
  </cols>
  <sheetData>
    <row r="1" customFormat="false" ht="25.5" hidden="false" customHeight="true" outlineLevel="0" collapsed="false">
      <c r="A1" s="2" t="s">
        <v>166</v>
      </c>
      <c r="B1" s="2"/>
      <c r="C1" s="2"/>
      <c r="D1" s="2"/>
      <c r="E1" s="2"/>
      <c r="F1" s="2"/>
      <c r="G1" s="2"/>
      <c r="H1" s="2"/>
    </row>
    <row r="2" customFormat="false" ht="30" hidden="false" customHeight="true" outlineLevel="0" collapsed="false">
      <c r="A2" s="3" t="s">
        <v>167</v>
      </c>
      <c r="B2" s="3"/>
      <c r="C2" s="3"/>
      <c r="D2" s="3"/>
      <c r="E2" s="3"/>
      <c r="F2" s="3"/>
      <c r="G2" s="3"/>
      <c r="H2" s="3"/>
    </row>
    <row r="4" customFormat="false" ht="15" hidden="false" customHeight="true" outlineLevel="0" collapsed="false">
      <c r="A4" s="11" t="s">
        <v>168</v>
      </c>
      <c r="B4" s="11"/>
      <c r="C4" s="11"/>
      <c r="D4" s="11"/>
      <c r="E4" s="11"/>
      <c r="F4" s="11"/>
      <c r="G4" s="11"/>
      <c r="H4" s="11"/>
    </row>
    <row r="5" customFormat="false" ht="15" hidden="false" customHeight="true" outlineLevel="0" collapsed="false">
      <c r="A5" s="41" t="s">
        <v>169</v>
      </c>
      <c r="B5" s="41" t="s">
        <v>170</v>
      </c>
      <c r="C5" s="41" t="s">
        <v>171</v>
      </c>
      <c r="D5" s="41" t="s">
        <v>172</v>
      </c>
      <c r="E5" s="41" t="s">
        <v>173</v>
      </c>
      <c r="F5" s="41" t="s">
        <v>174</v>
      </c>
    </row>
    <row r="6" customFormat="false" ht="15" hidden="false" customHeight="true" outlineLevel="0" collapsed="false">
      <c r="A6" s="14" t="s">
        <v>175</v>
      </c>
      <c r="B6" s="21" t="n">
        <v>0.18</v>
      </c>
      <c r="C6" s="42" t="n">
        <v>75</v>
      </c>
      <c r="D6" s="30" t="n">
        <f aca="false">B6*C6</f>
        <v>13.5</v>
      </c>
      <c r="E6" s="43" t="s">
        <v>70</v>
      </c>
      <c r="F6" s="14" t="s">
        <v>176</v>
      </c>
    </row>
    <row r="7" customFormat="false" ht="15" hidden="false" customHeight="true" outlineLevel="0" collapsed="false">
      <c r="A7" s="14" t="s">
        <v>177</v>
      </c>
      <c r="B7" s="21" t="n">
        <v>0.14</v>
      </c>
      <c r="C7" s="42" t="n">
        <v>65</v>
      </c>
      <c r="D7" s="30" t="n">
        <f aca="false">B7*C7</f>
        <v>9.1</v>
      </c>
      <c r="E7" s="43" t="s">
        <v>70</v>
      </c>
      <c r="F7" s="14" t="s">
        <v>178</v>
      </c>
    </row>
    <row r="8" customFormat="false" ht="15" hidden="false" customHeight="true" outlineLevel="0" collapsed="false">
      <c r="A8" s="14" t="s">
        <v>179</v>
      </c>
      <c r="B8" s="21" t="n">
        <v>0.12</v>
      </c>
      <c r="C8" s="42" t="n">
        <v>70</v>
      </c>
      <c r="D8" s="30" t="n">
        <f aca="false">B8*C8</f>
        <v>8.4</v>
      </c>
      <c r="E8" s="43" t="s">
        <v>70</v>
      </c>
      <c r="F8" s="14" t="s">
        <v>180</v>
      </c>
    </row>
    <row r="9" customFormat="false" ht="15" hidden="false" customHeight="true" outlineLevel="0" collapsed="false">
      <c r="A9" s="14" t="s">
        <v>181</v>
      </c>
      <c r="B9" s="21" t="n">
        <v>0.14</v>
      </c>
      <c r="C9" s="42" t="n">
        <v>80</v>
      </c>
      <c r="D9" s="30" t="n">
        <f aca="false">B9*C9</f>
        <v>11.2</v>
      </c>
      <c r="E9" s="43" t="s">
        <v>70</v>
      </c>
      <c r="F9" s="14" t="s">
        <v>182</v>
      </c>
    </row>
    <row r="10" customFormat="false" ht="15" hidden="false" customHeight="true" outlineLevel="0" collapsed="false">
      <c r="A10" s="14" t="s">
        <v>183</v>
      </c>
      <c r="B10" s="21" t="n">
        <v>0.12</v>
      </c>
      <c r="C10" s="42" t="n">
        <v>78</v>
      </c>
      <c r="D10" s="30" t="n">
        <f aca="false">B10*C10</f>
        <v>9.36</v>
      </c>
      <c r="E10" s="43" t="s">
        <v>70</v>
      </c>
      <c r="F10" s="14" t="s">
        <v>184</v>
      </c>
    </row>
    <row r="11" customFormat="false" ht="15" hidden="false" customHeight="true" outlineLevel="0" collapsed="false">
      <c r="A11" s="14" t="s">
        <v>185</v>
      </c>
      <c r="B11" s="21" t="n">
        <v>0.1</v>
      </c>
      <c r="C11" s="42" t="n">
        <v>68</v>
      </c>
      <c r="D11" s="30" t="n">
        <f aca="false">B11*C11</f>
        <v>6.8</v>
      </c>
      <c r="E11" s="43" t="s">
        <v>70</v>
      </c>
      <c r="F11" s="14" t="s">
        <v>186</v>
      </c>
    </row>
    <row r="12" customFormat="false" ht="15" hidden="false" customHeight="true" outlineLevel="0" collapsed="false">
      <c r="A12" s="14" t="s">
        <v>187</v>
      </c>
      <c r="B12" s="21" t="n">
        <v>0.12</v>
      </c>
      <c r="C12" s="42" t="n">
        <v>62</v>
      </c>
      <c r="D12" s="30" t="n">
        <f aca="false">B12*C12</f>
        <v>7.44</v>
      </c>
      <c r="E12" s="43" t="s">
        <v>70</v>
      </c>
      <c r="F12" s="14" t="s">
        <v>188</v>
      </c>
    </row>
    <row r="13" customFormat="false" ht="15" hidden="false" customHeight="true" outlineLevel="0" collapsed="false">
      <c r="A13" s="14" t="s">
        <v>189</v>
      </c>
      <c r="B13" s="21" t="n">
        <v>0.08</v>
      </c>
      <c r="C13" s="42" t="n">
        <v>55</v>
      </c>
      <c r="D13" s="30" t="n">
        <f aca="false">B13*C13</f>
        <v>4.4</v>
      </c>
      <c r="E13" s="43" t="s">
        <v>70</v>
      </c>
      <c r="F13" s="14" t="s">
        <v>190</v>
      </c>
    </row>
    <row r="14" customFormat="false" ht="15" hidden="false" customHeight="true" outlineLevel="0" collapsed="false">
      <c r="A14" s="33" t="s">
        <v>191</v>
      </c>
      <c r="B14" s="35" t="n">
        <f aca="false">SUM(B6:B13)</f>
        <v>1</v>
      </c>
      <c r="D14" s="44" t="n">
        <f aca="false">SUM(D6:D13)</f>
        <v>70.2</v>
      </c>
    </row>
    <row r="17" customFormat="false" ht="15" hidden="false" customHeight="true" outlineLevel="0" collapsed="false">
      <c r="A17" s="11" t="s">
        <v>192</v>
      </c>
      <c r="B17" s="11"/>
      <c r="C17" s="11"/>
      <c r="D17" s="11"/>
      <c r="E17" s="11"/>
      <c r="F17" s="11"/>
      <c r="G17" s="11"/>
      <c r="H17" s="11"/>
    </row>
    <row r="18" customFormat="false" ht="15" hidden="false" customHeight="true" outlineLevel="0" collapsed="false">
      <c r="A18" s="14" t="s">
        <v>193</v>
      </c>
      <c r="B18" s="28" t="n">
        <f aca="false">Controls!B43</f>
        <v>0.35</v>
      </c>
      <c r="C18" s="14" t="s">
        <v>194</v>
      </c>
    </row>
    <row r="19" customFormat="false" ht="15" hidden="false" customHeight="true" outlineLevel="0" collapsed="false">
      <c r="A19" s="14" t="s">
        <v>195</v>
      </c>
      <c r="B19" s="28" t="n">
        <f aca="false">Controls!B64+Controls!B65</f>
        <v>0.32</v>
      </c>
      <c r="C19" s="14" t="s">
        <v>76</v>
      </c>
    </row>
    <row r="20" customFormat="false" ht="15" hidden="false" customHeight="true" outlineLevel="0" collapsed="false">
      <c r="A20" s="14" t="s">
        <v>143</v>
      </c>
      <c r="B20" s="29" t="n">
        <f aca="false">'City Fiscal'!B24</f>
        <v>-0</v>
      </c>
      <c r="C20" s="14" t="s">
        <v>196</v>
      </c>
    </row>
    <row r="21" customFormat="false" ht="15" hidden="false" customHeight="true" outlineLevel="0" collapsed="false">
      <c r="A21" s="14" t="s">
        <v>197</v>
      </c>
      <c r="B21" s="45" t="n">
        <v>1</v>
      </c>
      <c r="C21" s="14" t="s">
        <v>198</v>
      </c>
    </row>
    <row r="22" customFormat="false" ht="15" hidden="false" customHeight="true" outlineLevel="0" collapsed="false">
      <c r="A22" s="14" t="s">
        <v>199</v>
      </c>
      <c r="B22" s="46" t="n">
        <f aca="false">MAX(0,-'Mobility &amp; Emissions'!B16)</f>
        <v>3989.2</v>
      </c>
      <c r="C22" s="14" t="s">
        <v>200</v>
      </c>
    </row>
  </sheetData>
  <mergeCells count="4">
    <mergeCell ref="A1:H1"/>
    <mergeCell ref="A2:H2"/>
    <mergeCell ref="A4:H4"/>
    <mergeCell ref="A17:H1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2" min="1" style="1" width="16"/>
  </cols>
  <sheetData>
    <row r="1" customFormat="false" ht="25.5" hidden="false" customHeight="true" outlineLevel="0" collapsed="false">
      <c r="A1" s="2" t="s">
        <v>201</v>
      </c>
      <c r="B1" s="2"/>
      <c r="C1" s="2"/>
      <c r="D1" s="2"/>
      <c r="E1" s="2"/>
      <c r="F1" s="2"/>
      <c r="G1" s="2"/>
      <c r="H1" s="2"/>
      <c r="I1" s="2"/>
      <c r="J1" s="2"/>
      <c r="K1" s="2"/>
      <c r="L1" s="2"/>
    </row>
    <row r="2" customFormat="false" ht="30" hidden="false" customHeight="true" outlineLevel="0" collapsed="false">
      <c r="A2" s="3" t="s">
        <v>202</v>
      </c>
      <c r="B2" s="3"/>
      <c r="C2" s="3"/>
      <c r="D2" s="3"/>
      <c r="E2" s="3"/>
      <c r="F2" s="3"/>
      <c r="G2" s="3"/>
      <c r="H2" s="3"/>
      <c r="I2" s="3"/>
      <c r="J2" s="3"/>
      <c r="K2" s="3"/>
      <c r="L2" s="3"/>
    </row>
    <row r="4" customFormat="false" ht="27.75" hidden="false" customHeight="true" outlineLevel="0" collapsed="false">
      <c r="A4" s="19" t="s">
        <v>203</v>
      </c>
      <c r="B4" s="19" t="s">
        <v>204</v>
      </c>
      <c r="C4" s="19" t="s">
        <v>205</v>
      </c>
      <c r="D4" s="19" t="s">
        <v>206</v>
      </c>
      <c r="E4" s="19" t="s">
        <v>207</v>
      </c>
      <c r="F4" s="19" t="s">
        <v>208</v>
      </c>
      <c r="G4" s="19" t="s">
        <v>6</v>
      </c>
      <c r="H4" s="19" t="s">
        <v>17</v>
      </c>
      <c r="I4" s="19" t="s">
        <v>18</v>
      </c>
      <c r="J4" s="19" t="s">
        <v>15</v>
      </c>
      <c r="K4" s="19" t="s">
        <v>209</v>
      </c>
      <c r="L4" s="19" t="s">
        <v>210</v>
      </c>
    </row>
    <row r="5" customFormat="false" ht="15" hidden="false" customHeight="true" outlineLevel="0" collapsed="false">
      <c r="A5" s="14" t="n">
        <v>1</v>
      </c>
      <c r="B5" s="47" t="n">
        <v>0.946760666305598</v>
      </c>
      <c r="C5" s="47" t="n">
        <v>1.00097899345074</v>
      </c>
      <c r="D5" s="47" t="n">
        <v>0.979651446275753</v>
      </c>
      <c r="E5" s="47" t="n">
        <v>1.12238240716892</v>
      </c>
      <c r="F5" s="47" t="n">
        <v>1.03198517042337</v>
      </c>
      <c r="G5" s="27" t="n">
        <f aca="false">'Visitor Economics'!$B$5*B5</f>
        <v>30485.6934550403</v>
      </c>
      <c r="H5" s="29" t="n">
        <f aca="false">MAX(0,'Visitor Economics'!$B$18*B5*C5*D5)</f>
        <v>671786.734318957</v>
      </c>
      <c r="I5" s="29" t="n">
        <f aca="false">H5*Controls!$B$52</f>
        <v>953937.162732919</v>
      </c>
      <c r="J5" s="29" t="n">
        <f aca="false">'City Fiscal'!$B$5+(H5*Controls!$B$56*Controls!$B$55)+('City Fiscal'!$B$9*B5*F5)</f>
        <v>152977.133874889</v>
      </c>
      <c r="K5" s="29" t="n">
        <f aca="false">J5-('City Fiscal'!$B$13*E5)</f>
        <v>29515.069086308</v>
      </c>
      <c r="L5" s="30" t="n">
        <f aca="false">'Mobility &amp; Emissions'!$B$21*B5*F5</f>
        <v>91.1890811361221</v>
      </c>
    </row>
    <row r="6" customFormat="false" ht="15" hidden="false" customHeight="true" outlineLevel="0" collapsed="false">
      <c r="A6" s="14" t="n">
        <v>2</v>
      </c>
      <c r="B6" s="47" t="n">
        <v>0.910583306743243</v>
      </c>
      <c r="C6" s="47" t="n">
        <v>1.11265153077165</v>
      </c>
      <c r="D6" s="47" t="n">
        <v>1.02043791689393</v>
      </c>
      <c r="E6" s="47" t="n">
        <v>1.04354479904832</v>
      </c>
      <c r="F6" s="47" t="n">
        <v>1.0763623737482</v>
      </c>
      <c r="G6" s="27" t="n">
        <f aca="false">'Visitor Economics'!$B$5*B6</f>
        <v>29320.7824771324</v>
      </c>
      <c r="H6" s="29" t="n">
        <f aca="false">MAX(0,'Visitor Economics'!$B$18*B6*C6*D6)</f>
        <v>748100.786273538</v>
      </c>
      <c r="I6" s="29" t="n">
        <f aca="false">H6*Controls!$B$52</f>
        <v>1062303.11650842</v>
      </c>
      <c r="J6" s="29" t="n">
        <f aca="false">'City Fiscal'!$B$5+(H6*Controls!$B$56*Controls!$B$55)+('City Fiscal'!$B$9*B6*F6)</f>
        <v>153797.741616027</v>
      </c>
      <c r="K6" s="29" t="n">
        <f aca="false">J6-('City Fiscal'!$B$13*E6)</f>
        <v>39007.813720712</v>
      </c>
      <c r="L6" s="30" t="n">
        <f aca="false">'Mobility &amp; Emissions'!$B$21*B6*F6</f>
        <v>91.4760426984577</v>
      </c>
    </row>
    <row r="7" customFormat="false" ht="15" hidden="false" customHeight="true" outlineLevel="0" collapsed="false">
      <c r="A7" s="14" t="n">
        <v>3</v>
      </c>
      <c r="B7" s="47" t="n">
        <v>0.969920063897804</v>
      </c>
      <c r="C7" s="47" t="n">
        <v>0.979565033763666</v>
      </c>
      <c r="D7" s="47" t="n">
        <v>0.936708327794026</v>
      </c>
      <c r="E7" s="47" t="n">
        <v>0.939823620375951</v>
      </c>
      <c r="F7" s="47" t="n">
        <v>1.09094494094491</v>
      </c>
      <c r="G7" s="27" t="n">
        <f aca="false">'Visitor Economics'!$B$5*B7</f>
        <v>31231.4260575093</v>
      </c>
      <c r="H7" s="29" t="n">
        <f aca="false">MAX(0,'Visitor Economics'!$B$18*B7*C7*D7)</f>
        <v>643973.903793111</v>
      </c>
      <c r="I7" s="29" t="n">
        <f aca="false">H7*Controls!$B$52</f>
        <v>914442.943386218</v>
      </c>
      <c r="J7" s="29" t="n">
        <f aca="false">'City Fiscal'!$B$5+(H7*Controls!$B$56*Controls!$B$55)+('City Fiscal'!$B$9*B7*F7)</f>
        <v>161396.831002065</v>
      </c>
      <c r="K7" s="29" t="n">
        <f aca="false">J7-('City Fiscal'!$B$13*E7)</f>
        <v>58016.23276071</v>
      </c>
      <c r="L7" s="30" t="n">
        <f aca="false">'Mobility &amp; Emissions'!$B$21*B7*F7</f>
        <v>98.757014492827</v>
      </c>
    </row>
    <row r="8" customFormat="false" ht="15" hidden="false" customHeight="true" outlineLevel="0" collapsed="false">
      <c r="A8" s="14" t="n">
        <v>4</v>
      </c>
      <c r="B8" s="47" t="n">
        <v>0.976872282694304</v>
      </c>
      <c r="C8" s="47" t="n">
        <v>1.01599038505984</v>
      </c>
      <c r="D8" s="47" t="n">
        <v>1.14918457459297</v>
      </c>
      <c r="E8" s="47" t="n">
        <v>0.917769627185543</v>
      </c>
      <c r="F8" s="47" t="n">
        <v>1.04993751951905</v>
      </c>
      <c r="G8" s="27" t="n">
        <f aca="false">'Visitor Economics'!$B$5*B8</f>
        <v>31455.2875027566</v>
      </c>
      <c r="H8" s="29" t="n">
        <f aca="false">MAX(0,'Visitor Economics'!$B$18*B8*C8*D8)</f>
        <v>825299.995448478</v>
      </c>
      <c r="I8" s="29" t="n">
        <f aca="false">H8*Controls!$B$52</f>
        <v>1171925.99353684</v>
      </c>
      <c r="J8" s="29" t="n">
        <f aca="false">'City Fiscal'!$B$5+(H8*Controls!$B$56*Controls!$B$55)+('City Fiscal'!$B$9*B8*F8)</f>
        <v>159127.616499783</v>
      </c>
      <c r="K8" s="29" t="n">
        <f aca="false">J8-('City Fiscal'!$B$13*E8)</f>
        <v>58172.9575093732</v>
      </c>
      <c r="L8" s="30" t="n">
        <f aca="false">'Mobility &amp; Emissions'!$B$21*B8*F8</f>
        <v>95.7261118257636</v>
      </c>
    </row>
    <row r="9" customFormat="false" ht="15" hidden="false" customHeight="true" outlineLevel="0" collapsed="false">
      <c r="A9" s="14" t="n">
        <v>5</v>
      </c>
      <c r="B9" s="47" t="n">
        <v>0.813549962742155</v>
      </c>
      <c r="C9" s="47" t="n">
        <v>1.01633708474097</v>
      </c>
      <c r="D9" s="47" t="n">
        <v>0.83332447843158</v>
      </c>
      <c r="E9" s="47" t="n">
        <v>0.942695965703849</v>
      </c>
      <c r="F9" s="47" t="n">
        <v>1.0370508964179</v>
      </c>
      <c r="G9" s="27" t="n">
        <f aca="false">'Visitor Economics'!$B$5*B9</f>
        <v>26196.3088002974</v>
      </c>
      <c r="H9" s="29" t="n">
        <f aca="false">MAX(0,'Visitor Economics'!$B$18*B9*C9*D9)</f>
        <v>498575.359335331</v>
      </c>
      <c r="I9" s="29" t="n">
        <f aca="false">H9*Controls!$B$52</f>
        <v>707977.01025617</v>
      </c>
      <c r="J9" s="29" t="n">
        <f aca="false">'City Fiscal'!$B$5+(H9*Controls!$B$56*Controls!$B$55)+('City Fiscal'!$B$9*B9*F9)</f>
        <v>137711.763398789</v>
      </c>
      <c r="K9" s="29" t="n">
        <f aca="false">J9-('City Fiscal'!$B$13*E9)</f>
        <v>34015.2071713655</v>
      </c>
      <c r="L9" s="30" t="n">
        <f aca="false">'Mobility &amp; Emissions'!$B$21*B9*F9</f>
        <v>78.7432756618605</v>
      </c>
    </row>
    <row r="10" customFormat="false" ht="15" hidden="false" customHeight="true" outlineLevel="0" collapsed="false">
      <c r="A10" s="14" t="n">
        <v>6</v>
      </c>
      <c r="B10" s="47" t="n">
        <v>0.907458228451521</v>
      </c>
      <c r="C10" s="47" t="n">
        <v>0.89029224708316</v>
      </c>
      <c r="D10" s="47" t="n">
        <v>1.12856586147215</v>
      </c>
      <c r="E10" s="47" t="n">
        <v>0.950045761176595</v>
      </c>
      <c r="F10" s="47" t="n">
        <v>0.965119503126099</v>
      </c>
      <c r="G10" s="27" t="n">
        <f aca="false">'Visitor Economics'!$B$5*B10</f>
        <v>29220.154956139</v>
      </c>
      <c r="H10" s="29" t="n">
        <f aca="false">MAX(0,'Visitor Economics'!$B$18*B10*C10*D10)</f>
        <v>659752.148138816</v>
      </c>
      <c r="I10" s="29" t="n">
        <f aca="false">H10*Controls!$B$52</f>
        <v>936848.050357118</v>
      </c>
      <c r="J10" s="29" t="n">
        <f aca="false">'City Fiscal'!$B$5+(H10*Controls!$B$56*Controls!$B$55)+('City Fiscal'!$B$9*B10*F10)</f>
        <v>142162.044763357</v>
      </c>
      <c r="K10" s="29" t="n">
        <f aca="false">J10-('City Fiscal'!$B$13*E10)</f>
        <v>37657.0110339311</v>
      </c>
      <c r="L10" s="30" t="n">
        <f aca="false">'Mobility &amp; Emissions'!$B$21*B10*F10</f>
        <v>81.740428742207</v>
      </c>
    </row>
    <row r="11" customFormat="false" ht="15" hidden="false" customHeight="true" outlineLevel="0" collapsed="false">
      <c r="A11" s="14" t="n">
        <v>7</v>
      </c>
      <c r="B11" s="47" t="n">
        <v>0.833598507441906</v>
      </c>
      <c r="C11" s="47" t="n">
        <v>1.00513486168554</v>
      </c>
      <c r="D11" s="47" t="n">
        <v>1.08189660919541</v>
      </c>
      <c r="E11" s="47" t="n">
        <v>1.10392210981808</v>
      </c>
      <c r="F11" s="47" t="n">
        <v>0.930078086890235</v>
      </c>
      <c r="G11" s="27" t="n">
        <f aca="false">'Visitor Economics'!$B$5*B11</f>
        <v>26841.8719396294</v>
      </c>
      <c r="H11" s="29" t="n">
        <f aca="false">MAX(0,'Visitor Economics'!$B$18*B11*C11*D11)</f>
        <v>655936.342251189</v>
      </c>
      <c r="I11" s="29" t="n">
        <f aca="false">H11*Controls!$B$52</f>
        <v>931429.605996688</v>
      </c>
      <c r="J11" s="29" t="n">
        <f aca="false">'City Fiscal'!$B$5+(H11*Controls!$B$56*Controls!$B$55)+('City Fiscal'!$B$9*B11*F11)</f>
        <v>131479.057794288</v>
      </c>
      <c r="K11" s="29" t="n">
        <f aca="false">J11-('City Fiscal'!$B$13*E11)</f>
        <v>10047.6257142988</v>
      </c>
      <c r="L11" s="30" t="n">
        <f aca="false">'Mobility &amp; Emissions'!$B$21*B11*F11</f>
        <v>72.36115946092</v>
      </c>
    </row>
    <row r="12" customFormat="false" ht="15" hidden="false" customHeight="true" outlineLevel="0" collapsed="false">
      <c r="A12" s="14" t="n">
        <v>8</v>
      </c>
      <c r="B12" s="47" t="n">
        <v>0.942617831511388</v>
      </c>
      <c r="C12" s="47" t="n">
        <v>0.876683330883074</v>
      </c>
      <c r="D12" s="47" t="n">
        <v>1.05776641812628</v>
      </c>
      <c r="E12" s="47" t="n">
        <v>1.12365226555256</v>
      </c>
      <c r="F12" s="47" t="n">
        <v>0.911664414373283</v>
      </c>
      <c r="G12" s="27" t="n">
        <f aca="false">'Visitor Economics'!$B$5*B12</f>
        <v>30352.2941746667</v>
      </c>
      <c r="H12" s="29" t="n">
        <f aca="false">MAX(0,'Visitor Economics'!$B$18*B12*C12*D12)</f>
        <v>632503.371189836</v>
      </c>
      <c r="I12" s="29" t="n">
        <f aca="false">H12*Controls!$B$52</f>
        <v>898154.787089567</v>
      </c>
      <c r="J12" s="29" t="n">
        <f aca="false">'City Fiscal'!$B$5+(H12*Controls!$B$56*Controls!$B$55)+('City Fiscal'!$B$9*B12*F12)</f>
        <v>140240.328858714</v>
      </c>
      <c r="K12" s="29" t="n">
        <f aca="false">J12-('City Fiscal'!$B$13*E12)</f>
        <v>16638.5796479327</v>
      </c>
      <c r="L12" s="30" t="n">
        <f aca="false">'Mobility &amp; Emissions'!$B$21*B12*F12</f>
        <v>80.2047021717956</v>
      </c>
    </row>
    <row r="13" customFormat="false" ht="15" hidden="false" customHeight="true" outlineLevel="0" collapsed="false">
      <c r="A13" s="14" t="n">
        <v>9</v>
      </c>
      <c r="B13" s="47" t="n">
        <v>0.889138444189021</v>
      </c>
      <c r="C13" s="47" t="n">
        <v>0.924312031904282</v>
      </c>
      <c r="D13" s="47" t="n">
        <v>1.05473415557246</v>
      </c>
      <c r="E13" s="47" t="n">
        <v>1.13246808943951</v>
      </c>
      <c r="F13" s="47" t="n">
        <v>1.10575635638874</v>
      </c>
      <c r="G13" s="27" t="n">
        <f aca="false">'Visitor Economics'!$B$5*B13</f>
        <v>28630.2579028865</v>
      </c>
      <c r="H13" s="29" t="n">
        <f aca="false">MAX(0,'Visitor Economics'!$B$18*B13*C13*D13)</f>
        <v>627228.34237228</v>
      </c>
      <c r="I13" s="29" t="n">
        <f aca="false">H13*Controls!$B$52</f>
        <v>890664.246168638</v>
      </c>
      <c r="J13" s="29" t="n">
        <f aca="false">'City Fiscal'!$B$5+(H13*Controls!$B$56*Controls!$B$55)+('City Fiscal'!$B$9*B13*F13)</f>
        <v>153338.272480037</v>
      </c>
      <c r="K13" s="29" t="n">
        <f aca="false">J13-('City Fiscal'!$B$13*E13)</f>
        <v>28766.7826416907</v>
      </c>
      <c r="L13" s="30" t="n">
        <f aca="false">'Mobility &amp; Emissions'!$B$21*B13*F13</f>
        <v>91.7609728828887</v>
      </c>
    </row>
    <row r="14" customFormat="false" ht="15" hidden="false" customHeight="true" outlineLevel="0" collapsed="false">
      <c r="A14" s="14" t="n">
        <v>10</v>
      </c>
      <c r="B14" s="47" t="n">
        <v>0.912625789347321</v>
      </c>
      <c r="C14" s="47" t="n">
        <v>0.951556071695684</v>
      </c>
      <c r="D14" s="47" t="n">
        <v>1.17688194477422</v>
      </c>
      <c r="E14" s="47" t="n">
        <v>1.01943818616258</v>
      </c>
      <c r="F14" s="47" t="n">
        <v>1.06908337624443</v>
      </c>
      <c r="G14" s="27" t="n">
        <f aca="false">'Visitor Economics'!$B$5*B14</f>
        <v>29386.5504169837</v>
      </c>
      <c r="H14" s="29" t="n">
        <f aca="false">MAX(0,'Visitor Economics'!$B$18*B14*C14*D14)</f>
        <v>739528.118581152</v>
      </c>
      <c r="I14" s="29" t="n">
        <f aca="false">H14*Controls!$B$52</f>
        <v>1050129.92838524</v>
      </c>
      <c r="J14" s="29" t="n">
        <f aca="false">'City Fiscal'!$B$5+(H14*Controls!$B$56*Controls!$B$55)+('City Fiscal'!$B$9*B14*F14)</f>
        <v>153270.807373744</v>
      </c>
      <c r="K14" s="29" t="n">
        <f aca="false">J14-('City Fiscal'!$B$13*E14)</f>
        <v>41132.6068958605</v>
      </c>
      <c r="L14" s="30" t="n">
        <f aca="false">'Mobility &amp; Emissions'!$B$21*B14*F14</f>
        <v>91.0612253454979</v>
      </c>
    </row>
    <row r="15" customFormat="false" ht="15" hidden="false" customHeight="true" outlineLevel="0" collapsed="false">
      <c r="A15" s="14" t="n">
        <v>11</v>
      </c>
      <c r="B15" s="47" t="n">
        <v>0.858734998571156</v>
      </c>
      <c r="C15" s="47" t="n">
        <v>0.97734992850332</v>
      </c>
      <c r="D15" s="47" t="n">
        <v>0.923265138816113</v>
      </c>
      <c r="E15" s="47" t="n">
        <v>1.03042370346506</v>
      </c>
      <c r="F15" s="47" t="n">
        <v>1.11482188180132</v>
      </c>
      <c r="G15" s="27" t="n">
        <f aca="false">'Visitor Economics'!$B$5*B15</f>
        <v>27651.2669539912</v>
      </c>
      <c r="H15" s="29" t="n">
        <f aca="false">MAX(0,'Visitor Economics'!$B$18*B15*C15*D15)</f>
        <v>560699.741622548</v>
      </c>
      <c r="I15" s="29" t="n">
        <f aca="false">H15*Controls!$B$52</f>
        <v>796193.633104018</v>
      </c>
      <c r="J15" s="29" t="n">
        <f aca="false">'City Fiscal'!$B$5+(H15*Controls!$B$56*Controls!$B$55)+('City Fiscal'!$B$9*B15*F15)</f>
        <v>150167.253959059</v>
      </c>
      <c r="K15" s="29" t="n">
        <f aca="false">J15-('City Fiscal'!$B$13*E15)</f>
        <v>36820.6465779027</v>
      </c>
      <c r="L15" s="30" t="n">
        <f aca="false">'Mobility &amp; Emissions'!$B$21*B15*F15</f>
        <v>89.3498492773438</v>
      </c>
    </row>
    <row r="16" customFormat="false" ht="15" hidden="false" customHeight="true" outlineLevel="0" collapsed="false">
      <c r="A16" s="14" t="n">
        <v>12</v>
      </c>
      <c r="B16" s="47" t="n">
        <v>0.952383433982492</v>
      </c>
      <c r="C16" s="47" t="n">
        <v>0.984070106966504</v>
      </c>
      <c r="D16" s="47" t="n">
        <v>1.00127575510216</v>
      </c>
      <c r="E16" s="47" t="n">
        <v>1.13338632155703</v>
      </c>
      <c r="F16" s="47" t="n">
        <v>0.984415400903319</v>
      </c>
      <c r="G16" s="27" t="n">
        <f aca="false">'Visitor Economics'!$B$5*B16</f>
        <v>30666.7465742362</v>
      </c>
      <c r="H16" s="29" t="n">
        <f aca="false">MAX(0,'Visitor Economics'!$B$18*B16*C16*D16)</f>
        <v>679025.746848616</v>
      </c>
      <c r="I16" s="29" t="n">
        <f aca="false">H16*Controls!$B$52</f>
        <v>964216.560525035</v>
      </c>
      <c r="J16" s="29" t="n">
        <f aca="false">'City Fiscal'!$B$5+(H16*Controls!$B$56*Controls!$B$55)+('City Fiscal'!$B$9*B16*F16)</f>
        <v>148834.504886249</v>
      </c>
      <c r="K16" s="29" t="n">
        <f aca="false">J16-('City Fiscal'!$B$13*E16)</f>
        <v>24162.0095149752</v>
      </c>
      <c r="L16" s="30" t="n">
        <f aca="false">'Mobility &amp; Emissions'!$B$21*B16*F16</f>
        <v>87.5022878810691</v>
      </c>
    </row>
    <row r="17" customFormat="false" ht="15" hidden="false" customHeight="true" outlineLevel="0" collapsed="false">
      <c r="A17" s="14" t="n">
        <v>13</v>
      </c>
      <c r="B17" s="47" t="n">
        <v>0.898581617462404</v>
      </c>
      <c r="C17" s="47" t="n">
        <v>0.98224980739588</v>
      </c>
      <c r="D17" s="47" t="n">
        <v>1.21658967225542</v>
      </c>
      <c r="E17" s="47" t="n">
        <v>0.849834543737084</v>
      </c>
      <c r="F17" s="47" t="n">
        <v>0.994109333493705</v>
      </c>
      <c r="G17" s="27" t="n">
        <f aca="false">'Visitor Economics'!$B$5*B17</f>
        <v>28934.3280822894</v>
      </c>
      <c r="H17" s="29" t="n">
        <f aca="false">MAX(0,'Visitor Economics'!$B$18*B17*C17*D17)</f>
        <v>776995.094869267</v>
      </c>
      <c r="I17" s="29" t="n">
        <f aca="false">H17*Controls!$B$52</f>
        <v>1103333.03471436</v>
      </c>
      <c r="J17" s="29" t="n">
        <f aca="false">'City Fiscal'!$B$5+(H17*Controls!$B$56*Controls!$B$55)+('City Fiscal'!$B$9*B17*F17)</f>
        <v>144775.976426132</v>
      </c>
      <c r="K17" s="29" t="n">
        <f aca="false">J17-('City Fiscal'!$B$13*E17)</f>
        <v>51294.1766150532</v>
      </c>
      <c r="L17" s="30" t="n">
        <f aca="false">'Mobility &amp; Emissions'!$B$21*B17*F17</f>
        <v>83.372122426014</v>
      </c>
    </row>
    <row r="18" customFormat="false" ht="15" hidden="false" customHeight="true" outlineLevel="0" collapsed="false">
      <c r="A18" s="14" t="n">
        <v>14</v>
      </c>
      <c r="B18" s="47" t="n">
        <v>0.923937520331817</v>
      </c>
      <c r="C18" s="47" t="n">
        <v>0.958358230691202</v>
      </c>
      <c r="D18" s="47" t="n">
        <v>1.08650305813258</v>
      </c>
      <c r="E18" s="47" t="n">
        <v>1.06877845050878</v>
      </c>
      <c r="F18" s="47" t="n">
        <v>0.882519225083018</v>
      </c>
      <c r="G18" s="27" t="n">
        <f aca="false">'Visitor Economics'!$B$5*B18</f>
        <v>29750.7881546845</v>
      </c>
      <c r="H18" s="29" t="n">
        <f aca="false">MAX(0,'Visitor Economics'!$B$18*B18*C18*D18)</f>
        <v>696139.221898311</v>
      </c>
      <c r="I18" s="29" t="n">
        <f aca="false">H18*Controls!$B$52</f>
        <v>988517.695095602</v>
      </c>
      <c r="J18" s="29" t="n">
        <f aca="false">'City Fiscal'!$B$5+(H18*Controls!$B$56*Controls!$B$55)+('City Fiscal'!$B$9*B18*F18)</f>
        <v>135990.504668235</v>
      </c>
      <c r="K18" s="29" t="n">
        <f aca="false">J18-('City Fiscal'!$B$13*E18)</f>
        <v>18424.875112269</v>
      </c>
      <c r="L18" s="30" t="n">
        <f aca="false">'Mobility &amp; Emissions'!$B$21*B18*F18</f>
        <v>76.1019798090937</v>
      </c>
    </row>
    <row r="19" customFormat="false" ht="15" hidden="false" customHeight="true" outlineLevel="0" collapsed="false">
      <c r="A19" s="14" t="n">
        <v>15</v>
      </c>
      <c r="B19" s="47" t="n">
        <v>0.932707388628819</v>
      </c>
      <c r="C19" s="47" t="n">
        <v>1.05607817274201</v>
      </c>
      <c r="D19" s="47" t="n">
        <v>0.877268185960262</v>
      </c>
      <c r="E19" s="47" t="n">
        <v>1.00170330247867</v>
      </c>
      <c r="F19" s="47" t="n">
        <v>1.0229862212199</v>
      </c>
      <c r="G19" s="27" t="n">
        <f aca="false">'Visitor Economics'!$B$5*B19</f>
        <v>30033.177913848</v>
      </c>
      <c r="H19" s="29" t="n">
        <f aca="false">MAX(0,'Visitor Economics'!$B$18*B19*C19*D19)</f>
        <v>625271.355178035</v>
      </c>
      <c r="I19" s="29" t="n">
        <f aca="false">H19*Controls!$B$52</f>
        <v>887885.32435281</v>
      </c>
      <c r="J19" s="29" t="n">
        <f aca="false">'City Fiscal'!$B$5+(H19*Controls!$B$56*Controls!$B$55)+('City Fiscal'!$B$9*B19*F19)</f>
        <v>150247.376048176</v>
      </c>
      <c r="K19" s="29" t="n">
        <f aca="false">J19-('City Fiscal'!$B$13*E19)</f>
        <v>40060.0127755223</v>
      </c>
      <c r="L19" s="30" t="n">
        <f aca="false">'Mobility &amp; Emissions'!$B$21*B19*F19</f>
        <v>89.0521435466277</v>
      </c>
    </row>
    <row r="20" customFormat="false" ht="15" hidden="false" customHeight="true" outlineLevel="0" collapsed="false">
      <c r="A20" s="14" t="n">
        <v>16</v>
      </c>
      <c r="B20" s="47" t="n">
        <v>0.909809090590759</v>
      </c>
      <c r="C20" s="47" t="n">
        <v>0.887149087856798</v>
      </c>
      <c r="D20" s="47" t="n">
        <v>1.04248192849778</v>
      </c>
      <c r="E20" s="47" t="n">
        <v>1.10727211204533</v>
      </c>
      <c r="F20" s="47" t="n">
        <v>0.941364653997046</v>
      </c>
      <c r="G20" s="27" t="n">
        <f aca="false">'Visitor Economics'!$B$5*B20</f>
        <v>29295.8527170224</v>
      </c>
      <c r="H20" s="29" t="n">
        <f aca="false">MAX(0,'Visitor Economics'!$B$18*B20*C20*D20)</f>
        <v>608849.686824012</v>
      </c>
      <c r="I20" s="29" t="n">
        <f aca="false">H20*Controls!$B$52</f>
        <v>864566.555290096</v>
      </c>
      <c r="J20" s="29" t="n">
        <f aca="false">'City Fiscal'!$B$5+(H20*Controls!$B$56*Controls!$B$55)+('City Fiscal'!$B$9*B20*F20)</f>
        <v>139780.647815494</v>
      </c>
      <c r="K20" s="29" t="n">
        <f aca="false">J20-('City Fiscal'!$B$13*E20)</f>
        <v>17980.7154905074</v>
      </c>
      <c r="L20" s="30" t="n">
        <f aca="false">'Mobility &amp; Emissions'!$B$21*B20*F20</f>
        <v>79.9350656234892</v>
      </c>
    </row>
    <row r="21" customFormat="false" ht="15" hidden="false" customHeight="true" outlineLevel="0" collapsed="false">
      <c r="A21" s="14" t="n">
        <v>17</v>
      </c>
      <c r="B21" s="47" t="n">
        <v>0.944184434315901</v>
      </c>
      <c r="C21" s="47" t="n">
        <v>0.94759702190882</v>
      </c>
      <c r="D21" s="47" t="n">
        <v>1.05807227922991</v>
      </c>
      <c r="E21" s="47" t="n">
        <v>1.05616695328195</v>
      </c>
      <c r="F21" s="47" t="n">
        <v>0.940622844801959</v>
      </c>
      <c r="G21" s="27" t="n">
        <f aca="false">'Visitor Economics'!$B$5*B21</f>
        <v>30402.738784972</v>
      </c>
      <c r="H21" s="29" t="n">
        <f aca="false">MAX(0,'Visitor Economics'!$B$18*B21*C21*D21)</f>
        <v>684999.933741213</v>
      </c>
      <c r="I21" s="29" t="n">
        <f aca="false">H21*Controls!$B$52</f>
        <v>972699.905912523</v>
      </c>
      <c r="J21" s="29" t="n">
        <f aca="false">'City Fiscal'!$B$5+(H21*Controls!$B$56*Controls!$B$55)+('City Fiscal'!$B$9*B21*F21)</f>
        <v>143631.850259889</v>
      </c>
      <c r="K21" s="29" t="n">
        <f aca="false">J21-('City Fiscal'!$B$13*E21)</f>
        <v>27453.4853988741</v>
      </c>
      <c r="L21" s="30" t="n">
        <f aca="false">'Mobility &amp; Emissions'!$B$21*B21*F21</f>
        <v>82.889884606536</v>
      </c>
    </row>
    <row r="22" customFormat="false" ht="15" hidden="false" customHeight="true" outlineLevel="0" collapsed="false">
      <c r="A22" s="14" t="n">
        <v>18</v>
      </c>
      <c r="B22" s="47" t="n">
        <v>0.820782349123119</v>
      </c>
      <c r="C22" s="47" t="n">
        <v>0.925598295440788</v>
      </c>
      <c r="D22" s="47" t="n">
        <v>1.10038800181804</v>
      </c>
      <c r="E22" s="47" t="n">
        <v>1.17559401905761</v>
      </c>
      <c r="F22" s="47" t="n">
        <v>1.02459067020353</v>
      </c>
      <c r="G22" s="27" t="n">
        <f aca="false">'Visitor Economics'!$B$5*B22</f>
        <v>26429.1916417644</v>
      </c>
      <c r="H22" s="29" t="n">
        <f aca="false">MAX(0,'Visitor Economics'!$B$18*B22*C22*D22)</f>
        <v>604910.426817002</v>
      </c>
      <c r="I22" s="29" t="n">
        <f aca="false">H22*Controls!$B$52</f>
        <v>858972.806080143</v>
      </c>
      <c r="J22" s="29" t="n">
        <f aca="false">'City Fiscal'!$B$5+(H22*Controls!$B$56*Controls!$B$55)+('City Fiscal'!$B$9*B22*F22)</f>
        <v>138111.615655588</v>
      </c>
      <c r="K22" s="29" t="n">
        <f aca="false">J22-('City Fiscal'!$B$13*E22)</f>
        <v>8796.27355925048</v>
      </c>
      <c r="L22" s="30" t="n">
        <f aca="false">'Mobility &amp; Emissions'!$B$21*B22*F22</f>
        <v>78.4887805590358</v>
      </c>
    </row>
    <row r="23" customFormat="false" ht="15" hidden="false" customHeight="true" outlineLevel="0" collapsed="false">
      <c r="A23" s="14" t="n">
        <v>19</v>
      </c>
      <c r="B23" s="47" t="n">
        <v>0.93987509750396</v>
      </c>
      <c r="C23" s="47" t="n">
        <v>0.889130311730818</v>
      </c>
      <c r="D23" s="47" t="n">
        <v>0.953015317240989</v>
      </c>
      <c r="E23" s="47" t="n">
        <v>0.97477499798094</v>
      </c>
      <c r="F23" s="47" t="n">
        <v>1.00295408880217</v>
      </c>
      <c r="G23" s="27" t="n">
        <f aca="false">'Visitor Economics'!$B$5*B23</f>
        <v>30263.9781396275</v>
      </c>
      <c r="H23" s="29" t="n">
        <f aca="false">MAX(0,'Visitor Economics'!$B$18*B23*C23*D23)</f>
        <v>576275.438050756</v>
      </c>
      <c r="I23" s="29" t="n">
        <f aca="false">H23*Controls!$B$52</f>
        <v>818311.122032073</v>
      </c>
      <c r="J23" s="29" t="n">
        <f aca="false">'City Fiscal'!$B$5+(H23*Controls!$B$56*Controls!$B$55)+('City Fiscal'!$B$9*B23*F23)</f>
        <v>148710.712250947</v>
      </c>
      <c r="K23" s="29" t="n">
        <f aca="false">J23-('City Fiscal'!$B$13*E23)</f>
        <v>41485.4624730439</v>
      </c>
      <c r="L23" s="30" t="n">
        <f aca="false">'Mobility &amp; Emissions'!$B$21*B23*F23</f>
        <v>87.979273722893</v>
      </c>
    </row>
    <row r="24" customFormat="false" ht="15" hidden="false" customHeight="true" outlineLevel="0" collapsed="false">
      <c r="A24" s="14" t="n">
        <v>20</v>
      </c>
      <c r="B24" s="47" t="n">
        <v>0.88633155693396</v>
      </c>
      <c r="C24" s="47" t="n">
        <v>1.05119593035292</v>
      </c>
      <c r="D24" s="47" t="n">
        <v>0.98950727910982</v>
      </c>
      <c r="E24" s="47" t="n">
        <v>0.991837423165037</v>
      </c>
      <c r="F24" s="47" t="n">
        <v>1.00761847029899</v>
      </c>
      <c r="G24" s="27" t="n">
        <f aca="false">'Visitor Economics'!$B$5*B24</f>
        <v>28539.8761332735</v>
      </c>
      <c r="H24" s="29" t="n">
        <f aca="false">MAX(0,'Visitor Economics'!$B$18*B24*C24*D24)</f>
        <v>667104.00194412</v>
      </c>
      <c r="I24" s="29" t="n">
        <f aca="false">H24*Controls!$B$52</f>
        <v>947287.682760651</v>
      </c>
      <c r="J24" s="29" t="n">
        <f aca="false">'City Fiscal'!$B$5+(H24*Controls!$B$56*Controls!$B$55)+('City Fiscal'!$B$9*B24*F24)</f>
        <v>144042.211663398</v>
      </c>
      <c r="K24" s="29" t="n">
        <f aca="false">J24-('City Fiscal'!$B$13*E24)</f>
        <v>34940.0951152439</v>
      </c>
      <c r="L24" s="30" t="n">
        <f aca="false">'Mobility &amp; Emissions'!$B$21*B24*F24</f>
        <v>83.3530524031041</v>
      </c>
    </row>
    <row r="25" customFormat="false" ht="15" hidden="false" customHeight="true" outlineLevel="0" collapsed="false">
      <c r="A25" s="14" t="n">
        <v>21</v>
      </c>
      <c r="B25" s="47" t="n">
        <v>0.903031703231322</v>
      </c>
      <c r="C25" s="47" t="n">
        <v>0.977006369297554</v>
      </c>
      <c r="D25" s="47" t="n">
        <v>1.00080379216369</v>
      </c>
      <c r="E25" s="47" t="n">
        <v>0.918164657591213</v>
      </c>
      <c r="F25" s="47" t="n">
        <v>1.01227745282634</v>
      </c>
      <c r="G25" s="27" t="n">
        <f aca="false">'Visitor Economics'!$B$5*B25</f>
        <v>29077.6208440486</v>
      </c>
      <c r="H25" s="29" t="n">
        <f aca="false">MAX(0,'Visitor Economics'!$B$18*B25*C25*D25)</f>
        <v>638916.353626552</v>
      </c>
      <c r="I25" s="29" t="n">
        <f aca="false">H25*Controls!$B$52</f>
        <v>907261.222149704</v>
      </c>
      <c r="J25" s="29" t="n">
        <f aca="false">'City Fiscal'!$B$5+(H25*Controls!$B$56*Controls!$B$55)+('City Fiscal'!$B$9*B25*F25)</f>
        <v>146090.457472206</v>
      </c>
      <c r="K25" s="29" t="n">
        <f aca="false">J25-('City Fiscal'!$B$13*E25)</f>
        <v>45092.3451371723</v>
      </c>
      <c r="L25" s="30" t="n">
        <f aca="false">'Mobility &amp; Emissions'!$B$21*B25*F25</f>
        <v>85.316245960621</v>
      </c>
    </row>
    <row r="26" customFormat="false" ht="15" hidden="false" customHeight="true" outlineLevel="0" collapsed="false">
      <c r="A26" s="14" t="n">
        <v>22</v>
      </c>
      <c r="B26" s="47" t="n">
        <v>0.949091608395057</v>
      </c>
      <c r="C26" s="47" t="n">
        <v>1.03030050167364</v>
      </c>
      <c r="D26" s="47" t="n">
        <v>0.812949962063711</v>
      </c>
      <c r="E26" s="47" t="n">
        <v>0.968913061885115</v>
      </c>
      <c r="F26" s="47" t="n">
        <v>1.08548256049718</v>
      </c>
      <c r="G26" s="27" t="n">
        <f aca="false">'Visitor Economics'!$B$5*B26</f>
        <v>30560.7497903208</v>
      </c>
      <c r="H26" s="29" t="n">
        <f aca="false">MAX(0,'Visitor Economics'!$B$18*B26*C26*D26)</f>
        <v>575215.432815016</v>
      </c>
      <c r="I26" s="29" t="n">
        <f aca="false">H26*Controls!$B$52</f>
        <v>816805.914597323</v>
      </c>
      <c r="J26" s="29" t="n">
        <f aca="false">'City Fiscal'!$B$5+(H26*Controls!$B$56*Controls!$B$55)+('City Fiscal'!$B$9*B26*F26)</f>
        <v>157991.494828076</v>
      </c>
      <c r="K26" s="29" t="n">
        <f aca="false">J26-('City Fiscal'!$B$13*E26)</f>
        <v>51411.0580207134</v>
      </c>
      <c r="L26" s="30" t="n">
        <f aca="false">'Mobility &amp; Emissions'!$B$21*B26*F26</f>
        <v>96.1524069646226</v>
      </c>
    </row>
    <row r="27" customFormat="false" ht="15" hidden="false" customHeight="true" outlineLevel="0" collapsed="false">
      <c r="A27" s="14" t="n">
        <v>23</v>
      </c>
      <c r="B27" s="47" t="n">
        <v>0.888520965716308</v>
      </c>
      <c r="C27" s="47" t="n">
        <v>1.05172115993955</v>
      </c>
      <c r="D27" s="47" t="n">
        <v>0.852261331291362</v>
      </c>
      <c r="E27" s="47" t="n">
        <v>1.00717547487949</v>
      </c>
      <c r="F27" s="47" t="n">
        <v>0.973420014584345</v>
      </c>
      <c r="G27" s="27" t="n">
        <f aca="false">'Visitor Economics'!$B$5*B27</f>
        <v>28610.3750960651</v>
      </c>
      <c r="H27" s="29" t="n">
        <f aca="false">MAX(0,'Visitor Economics'!$B$18*B27*C27*D27)</f>
        <v>576282.916450032</v>
      </c>
      <c r="I27" s="29" t="n">
        <f aca="false">H27*Controls!$B$52</f>
        <v>818321.741359046</v>
      </c>
      <c r="J27" s="29" t="n">
        <f aca="false">'City Fiscal'!$B$5+(H27*Controls!$B$56*Controls!$B$55)+('City Fiscal'!$B$9*B27*F27)</f>
        <v>140464.960103009</v>
      </c>
      <c r="K27" s="29" t="n">
        <f aca="false">J27-('City Fiscal'!$B$13*E27)</f>
        <v>29675.6578662653</v>
      </c>
      <c r="L27" s="30" t="n">
        <f aca="false">'Mobility &amp; Emissions'!$B$21*B27*F27</f>
        <v>80.7229691878834</v>
      </c>
    </row>
    <row r="28" customFormat="false" ht="15" hidden="false" customHeight="true" outlineLevel="0" collapsed="false">
      <c r="A28" s="14" t="n">
        <v>24</v>
      </c>
      <c r="B28" s="47" t="n">
        <v>0.905331560271147</v>
      </c>
      <c r="C28" s="47" t="n">
        <v>0.950111490653209</v>
      </c>
      <c r="D28" s="47" t="n">
        <v>0.923985068670331</v>
      </c>
      <c r="E28" s="47" t="n">
        <v>1.04380531044666</v>
      </c>
      <c r="F28" s="47" t="n">
        <v>0.931746559560632</v>
      </c>
      <c r="G28" s="27" t="n">
        <f aca="false">'Visitor Economics'!$B$5*B28</f>
        <v>29151.6762407309</v>
      </c>
      <c r="H28" s="29" t="n">
        <f aca="false">MAX(0,'Visitor Economics'!$B$18*B28*C28*D28)</f>
        <v>575097.995131605</v>
      </c>
      <c r="I28" s="29" t="n">
        <f aca="false">H28*Controls!$B$52</f>
        <v>816639.153086879</v>
      </c>
      <c r="J28" s="29" t="n">
        <f aca="false">'City Fiscal'!$B$5+(H28*Controls!$B$56*Controls!$B$55)+('City Fiscal'!$B$9*B28*F28)</f>
        <v>138191.387011683</v>
      </c>
      <c r="K28" s="29" t="n">
        <f aca="false">J28-('City Fiscal'!$B$13*E28)</f>
        <v>23372.8028625505</v>
      </c>
      <c r="L28" s="30" t="n">
        <f aca="false">'Mobility &amp; Emissions'!$B$21*B28*F28</f>
        <v>78.7289817628427</v>
      </c>
    </row>
    <row r="29" customFormat="false" ht="15" hidden="false" customHeight="true" outlineLevel="0" collapsed="false">
      <c r="A29" s="14" t="n">
        <v>25</v>
      </c>
      <c r="B29" s="47" t="n">
        <v>0.924815967725674</v>
      </c>
      <c r="C29" s="47" t="n">
        <v>0.825196152422707</v>
      </c>
      <c r="D29" s="47" t="n">
        <v>0.966531766731568</v>
      </c>
      <c r="E29" s="47" t="n">
        <v>1.03916534914773</v>
      </c>
      <c r="F29" s="47" t="n">
        <v>1.00143183382703</v>
      </c>
      <c r="G29" s="27" t="n">
        <f aca="false">'Visitor Economics'!$B$5*B29</f>
        <v>29779.0741607667</v>
      </c>
      <c r="H29" s="29" t="n">
        <f aca="false">MAX(0,'Visitor Economics'!$B$18*B29*C29*D29)</f>
        <v>533732.091149738</v>
      </c>
      <c r="I29" s="29" t="n">
        <f aca="false">H29*Controls!$B$52</f>
        <v>757899.569432628</v>
      </c>
      <c r="J29" s="29" t="n">
        <f aca="false">'City Fiscal'!$B$5+(H29*Controls!$B$56*Controls!$B$55)+('City Fiscal'!$B$9*B29*F29)</f>
        <v>146683.850638769</v>
      </c>
      <c r="K29" s="29" t="n">
        <f aca="false">J29-('City Fiscal'!$B$13*E29)</f>
        <v>32375.662232519</v>
      </c>
      <c r="L29" s="30" t="n">
        <f aca="false">'Mobility &amp; Emissions'!$B$21*B29*F29</f>
        <v>86.4382346855447</v>
      </c>
    </row>
    <row r="30" customFormat="false" ht="15" hidden="false" customHeight="true" outlineLevel="0" collapsed="false">
      <c r="A30" s="14" t="n">
        <v>26</v>
      </c>
      <c r="B30" s="47" t="n">
        <v>0.906532209338176</v>
      </c>
      <c r="C30" s="47" t="n">
        <v>1.01125258623765</v>
      </c>
      <c r="D30" s="47" t="n">
        <v>1.22236397278913</v>
      </c>
      <c r="E30" s="47" t="n">
        <v>1.01642720620757</v>
      </c>
      <c r="F30" s="47" t="n">
        <v>1.02210355751625</v>
      </c>
      <c r="G30" s="27" t="n">
        <f aca="false">'Visitor Economics'!$B$5*B30</f>
        <v>29190.3371406893</v>
      </c>
      <c r="H30" s="29" t="n">
        <f aca="false">MAX(0,'Visitor Economics'!$B$18*B30*C30*D30)</f>
        <v>810845.471350079</v>
      </c>
      <c r="I30" s="29" t="n">
        <f aca="false">H30*Controls!$B$52</f>
        <v>1151400.56931711</v>
      </c>
      <c r="J30" s="29" t="n">
        <f aca="false">'City Fiscal'!$B$5+(H30*Controls!$B$56*Controls!$B$55)+('City Fiscal'!$B$9*B30*F30)</f>
        <v>148525.113023641</v>
      </c>
      <c r="K30" s="29" t="n">
        <f aca="false">J30-('City Fiscal'!$B$13*E30)</f>
        <v>36718.1203408079</v>
      </c>
      <c r="L30" s="30" t="n">
        <f aca="false">'Mobility &amp; Emissions'!$B$21*B30*F30</f>
        <v>86.4783342449771</v>
      </c>
    </row>
    <row r="31" customFormat="false" ht="15" hidden="false" customHeight="true" outlineLevel="0" collapsed="false">
      <c r="A31" s="14" t="n">
        <v>27</v>
      </c>
      <c r="B31" s="47" t="n">
        <v>0.923812682748712</v>
      </c>
      <c r="C31" s="47" t="n">
        <v>0.969789852793839</v>
      </c>
      <c r="D31" s="47" t="n">
        <v>0.946311454806938</v>
      </c>
      <c r="E31" s="47" t="n">
        <v>1.06294051748174</v>
      </c>
      <c r="F31" s="47" t="n">
        <v>0.923331439369482</v>
      </c>
      <c r="G31" s="27" t="n">
        <f aca="false">'Visitor Economics'!$B$5*B31</f>
        <v>29746.7683845085</v>
      </c>
      <c r="H31" s="29" t="n">
        <f aca="false">MAX(0,'Visitor Economics'!$B$18*B31*C31*D31)</f>
        <v>613465.752339087</v>
      </c>
      <c r="I31" s="29" t="n">
        <f aca="false">H31*Controls!$B$52</f>
        <v>871121.368321504</v>
      </c>
      <c r="J31" s="29" t="n">
        <f aca="false">'City Fiscal'!$B$5+(H31*Controls!$B$56*Controls!$B$55)+('City Fiscal'!$B$9*B31*F31)</f>
        <v>139441.81213262</v>
      </c>
      <c r="K31" s="29" t="n">
        <f aca="false">J31-('City Fiscal'!$B$13*E31)</f>
        <v>22518.3552096285</v>
      </c>
      <c r="L31" s="30" t="n">
        <f aca="false">'Mobility &amp; Emissions'!$B$21*B31*F31</f>
        <v>79.6105675705671</v>
      </c>
    </row>
    <row r="32" customFormat="false" ht="15" hidden="false" customHeight="true" outlineLevel="0" collapsed="false">
      <c r="A32" s="14" t="n">
        <v>28</v>
      </c>
      <c r="B32" s="47" t="n">
        <v>0.916496153791966</v>
      </c>
      <c r="C32" s="47" t="n">
        <v>0.967061211745314</v>
      </c>
      <c r="D32" s="47" t="n">
        <v>0.841433704104506</v>
      </c>
      <c r="E32" s="47" t="n">
        <v>1.11905630981219</v>
      </c>
      <c r="F32" s="47" t="n">
        <v>1.02263242170788</v>
      </c>
      <c r="G32" s="27" t="n">
        <f aca="false">'Visitor Economics'!$B$5*B32</f>
        <v>29511.1761521013</v>
      </c>
      <c r="H32" s="29" t="n">
        <f aca="false">MAX(0,'Visitor Economics'!$B$18*B32*C32*D32)</f>
        <v>539633.85051891</v>
      </c>
      <c r="I32" s="29" t="n">
        <f aca="false">H32*Controls!$B$52</f>
        <v>766280.067736852</v>
      </c>
      <c r="J32" s="29" t="n">
        <f aca="false">'City Fiscal'!$B$5+(H32*Controls!$B$56*Controls!$B$55)+('City Fiscal'!$B$9*B32*F32)</f>
        <v>147899.190335138</v>
      </c>
      <c r="K32" s="29" t="n">
        <f aca="false">J32-('City Fiscal'!$B$13*E32)</f>
        <v>24802.9962557974</v>
      </c>
      <c r="L32" s="30" t="n">
        <f aca="false">'Mobility &amp; Emissions'!$B$21*B32*F32</f>
        <v>87.4740794257227</v>
      </c>
    </row>
    <row r="33" customFormat="false" ht="15" hidden="false" customHeight="true" outlineLevel="0" collapsed="false">
      <c r="A33" s="14" t="n">
        <v>29</v>
      </c>
      <c r="B33" s="47" t="n">
        <v>0.890818770973152</v>
      </c>
      <c r="C33" s="47" t="n">
        <v>1.04964376360265</v>
      </c>
      <c r="D33" s="47" t="n">
        <v>0.975199641393113</v>
      </c>
      <c r="E33" s="47" t="n">
        <v>0.949149912891957</v>
      </c>
      <c r="F33" s="47" t="n">
        <v>0.968774997368975</v>
      </c>
      <c r="G33" s="27" t="n">
        <f aca="false">'Visitor Economics'!$B$5*B33</f>
        <v>28684.3644253355</v>
      </c>
      <c r="H33" s="29" t="n">
        <f aca="false">MAX(0,'Visitor Economics'!$B$18*B33*C33*D33)</f>
        <v>659810.909464894</v>
      </c>
      <c r="I33" s="29" t="n">
        <f aca="false">H33*Controls!$B$52</f>
        <v>936931.491440149</v>
      </c>
      <c r="J33" s="29" t="n">
        <f aca="false">'City Fiscal'!$B$5+(H33*Controls!$B$56*Controls!$B$55)+('City Fiscal'!$B$9*B33*F33)</f>
        <v>140804.589082402</v>
      </c>
      <c r="K33" s="29" t="n">
        <f aca="false">J33-('City Fiscal'!$B$13*E33)</f>
        <v>36398.0986642863</v>
      </c>
      <c r="L33" s="30" t="n">
        <f aca="false">'Mobility &amp; Emissions'!$B$21*B33*F33</f>
        <v>80.5455326623808</v>
      </c>
    </row>
    <row r="34" customFormat="false" ht="15" hidden="false" customHeight="true" outlineLevel="0" collapsed="false">
      <c r="A34" s="14" t="n">
        <v>30</v>
      </c>
      <c r="B34" s="47" t="n">
        <v>0.945784098738882</v>
      </c>
      <c r="C34" s="47" t="n">
        <v>0.991944758570885</v>
      </c>
      <c r="D34" s="47" t="n">
        <v>1.04706220164789</v>
      </c>
      <c r="E34" s="47" t="n">
        <v>0.986344522001778</v>
      </c>
      <c r="F34" s="47" t="n">
        <v>1.04904208797722</v>
      </c>
      <c r="G34" s="27" t="n">
        <f aca="false">'Visitor Economics'!$B$5*B34</f>
        <v>30454.247979392</v>
      </c>
      <c r="H34" s="29" t="n">
        <f aca="false">MAX(0,'Visitor Economics'!$B$18*B34*C34*D34)</f>
        <v>710798.735703739</v>
      </c>
      <c r="I34" s="29" t="n">
        <f aca="false">H34*Controls!$B$52</f>
        <v>1009334.20469931</v>
      </c>
      <c r="J34" s="29" t="n">
        <f aca="false">'City Fiscal'!$B$5+(H34*Controls!$B$56*Controls!$B$55)+('City Fiscal'!$B$9*B34*F34)</f>
        <v>154834.002163715</v>
      </c>
      <c r="K34" s="29" t="n">
        <f aca="false">J34-('City Fiscal'!$B$13*E34)</f>
        <v>46336.1047435197</v>
      </c>
      <c r="L34" s="30" t="n">
        <f aca="false">'Mobility &amp; Emissions'!$B$21*B34*F34</f>
        <v>92.6006631935924</v>
      </c>
    </row>
    <row r="35" customFormat="false" ht="15" hidden="false" customHeight="true" outlineLevel="0" collapsed="false">
      <c r="A35" s="14" t="n">
        <v>31</v>
      </c>
      <c r="B35" s="47" t="n">
        <v>0.925829941064052</v>
      </c>
      <c r="C35" s="47" t="n">
        <v>1.01308882191277</v>
      </c>
      <c r="D35" s="47" t="n">
        <v>0.893003982230716</v>
      </c>
      <c r="E35" s="47" t="n">
        <v>1.04070057334049</v>
      </c>
      <c r="F35" s="47" t="n">
        <v>0.993640175438489</v>
      </c>
      <c r="G35" s="27" t="n">
        <f aca="false">'Visitor Economics'!$B$5*B35</f>
        <v>29811.7241022625</v>
      </c>
      <c r="H35" s="29" t="n">
        <f aca="false">MAX(0,'Visitor Economics'!$B$18*B35*C35*D35)</f>
        <v>606075.614214487</v>
      </c>
      <c r="I35" s="29" t="n">
        <f aca="false">H35*Controls!$B$52</f>
        <v>860627.372184572</v>
      </c>
      <c r="J35" s="29" t="n">
        <f aca="false">'City Fiscal'!$B$5+(H35*Controls!$B$56*Controls!$B$55)+('City Fiscal'!$B$9*B35*F35)</f>
        <v>146495.250019232</v>
      </c>
      <c r="K35" s="29" t="n">
        <f aca="false">J35-('City Fiscal'!$B$13*E35)</f>
        <v>32018.1869517782</v>
      </c>
      <c r="L35" s="30" t="n">
        <f aca="false">'Mobility &amp; Emissions'!$B$21*B35*F35</f>
        <v>85.8597344344275</v>
      </c>
    </row>
    <row r="36" customFormat="false" ht="15" hidden="false" customHeight="true" outlineLevel="0" collapsed="false">
      <c r="A36" s="14" t="n">
        <v>32</v>
      </c>
      <c r="B36" s="47" t="n">
        <v>0.982211112744618</v>
      </c>
      <c r="C36" s="47" t="n">
        <v>1.06856071540155</v>
      </c>
      <c r="D36" s="47" t="n">
        <v>1.10517683196394</v>
      </c>
      <c r="E36" s="47" t="n">
        <v>0.968131360622928</v>
      </c>
      <c r="F36" s="47" t="n">
        <v>0.931194211616346</v>
      </c>
      <c r="G36" s="27" t="n">
        <f aca="false">'Visitor Economics'!$B$5*B36</f>
        <v>31627.1978303767</v>
      </c>
      <c r="H36" s="29" t="n">
        <f aca="false">MAX(0,'Visitor Economics'!$B$18*B36*C36*D36)</f>
        <v>839325.637251346</v>
      </c>
      <c r="I36" s="29" t="n">
        <f aca="false">H36*Controls!$B$52</f>
        <v>1191842.40489691</v>
      </c>
      <c r="J36" s="29" t="n">
        <f aca="false">'City Fiscal'!$B$5+(H36*Controls!$B$56*Controls!$B$55)+('City Fiscal'!$B$9*B36*F36)</f>
        <v>147443.270694869</v>
      </c>
      <c r="K36" s="29" t="n">
        <f aca="false">J36-('City Fiscal'!$B$13*E36)</f>
        <v>40948.8210263466</v>
      </c>
      <c r="L36" s="30" t="n">
        <f aca="false">'Mobility &amp; Emissions'!$B$21*B36*F36</f>
        <v>85.3639076976224</v>
      </c>
    </row>
    <row r="37" customFormat="false" ht="15" hidden="false" customHeight="true" outlineLevel="0" collapsed="false">
      <c r="A37" s="14" t="n">
        <v>33</v>
      </c>
      <c r="B37" s="47" t="n">
        <v>0.950286299768267</v>
      </c>
      <c r="C37" s="47" t="n">
        <v>0.901663945532897</v>
      </c>
      <c r="D37" s="47" t="n">
        <v>0.866582330760958</v>
      </c>
      <c r="E37" s="47" t="n">
        <v>0.906423955012485</v>
      </c>
      <c r="F37" s="47" t="n">
        <v>0.994576969120258</v>
      </c>
      <c r="G37" s="27" t="n">
        <f aca="false">'Visitor Economics'!$B$5*B37</f>
        <v>30599.2188525382</v>
      </c>
      <c r="H37" s="29" t="n">
        <f aca="false">MAX(0,'Visitor Economics'!$B$18*B37*C37*D37)</f>
        <v>537283.707692719</v>
      </c>
      <c r="I37" s="29" t="n">
        <f aca="false">H37*Controls!$B$52</f>
        <v>762942.864923661</v>
      </c>
      <c r="J37" s="29" t="n">
        <f aca="false">'City Fiscal'!$B$5+(H37*Controls!$B$56*Controls!$B$55)+('City Fiscal'!$B$9*B37*F37)</f>
        <v>148721.208970756</v>
      </c>
      <c r="K37" s="29" t="n">
        <f aca="false">J37-('City Fiscal'!$B$13*E37)</f>
        <v>49014.5739193829</v>
      </c>
      <c r="L37" s="30" t="n">
        <f aca="false">'Mobility &amp; Emissions'!$B$21*B37*F37</f>
        <v>88.2108572795185</v>
      </c>
    </row>
    <row r="38" customFormat="false" ht="15" hidden="false" customHeight="true" outlineLevel="0" collapsed="false">
      <c r="A38" s="14" t="n">
        <v>34</v>
      </c>
      <c r="B38" s="47" t="n">
        <v>0.909160365437699</v>
      </c>
      <c r="C38" s="47" t="n">
        <v>1.07778625816159</v>
      </c>
      <c r="D38" s="47" t="n">
        <v>1.11310131483466</v>
      </c>
      <c r="E38" s="47" t="n">
        <v>0.903694085812559</v>
      </c>
      <c r="F38" s="47" t="n">
        <v>0.97929617163706</v>
      </c>
      <c r="G38" s="27" t="n">
        <f aca="false">'Visitor Economics'!$B$5*B38</f>
        <v>29274.9637670939</v>
      </c>
      <c r="H38" s="29" t="n">
        <f aca="false">MAX(0,'Visitor Economics'!$B$18*B38*C38*D38)</f>
        <v>789228.031336547</v>
      </c>
      <c r="I38" s="29" t="n">
        <f aca="false">H38*Controls!$B$52</f>
        <v>1120703.8044979</v>
      </c>
      <c r="J38" s="29" t="n">
        <f aca="false">'City Fiscal'!$B$5+(H38*Controls!$B$56*Controls!$B$55)+('City Fiscal'!$B$9*B38*F38)</f>
        <v>144542.255076788</v>
      </c>
      <c r="K38" s="29" t="n">
        <f aca="false">J38-('City Fiscal'!$B$13*E38)</f>
        <v>45135.905637407</v>
      </c>
      <c r="L38" s="30" t="n">
        <f aca="false">'Mobility &amp; Emissions'!$B$21*B38*F38</f>
        <v>83.0966905416804</v>
      </c>
    </row>
    <row r="39" customFormat="false" ht="15" hidden="false" customHeight="true" outlineLevel="0" collapsed="false">
      <c r="A39" s="14" t="n">
        <v>35</v>
      </c>
      <c r="B39" s="47" t="n">
        <v>0.977432406692415</v>
      </c>
      <c r="C39" s="47" t="n">
        <v>1.03675337844693</v>
      </c>
      <c r="D39" s="47" t="n">
        <v>1.15457332658004</v>
      </c>
      <c r="E39" s="47" t="n">
        <v>0.972508032575337</v>
      </c>
      <c r="F39" s="47" t="n">
        <v>0.992697231928303</v>
      </c>
      <c r="G39" s="27" t="n">
        <f aca="false">'Visitor Economics'!$B$5*B39</f>
        <v>31473.3234954958</v>
      </c>
      <c r="H39" s="29" t="n">
        <f aca="false">MAX(0,'Visitor Economics'!$B$18*B39*C39*D39)</f>
        <v>846600.231300671</v>
      </c>
      <c r="I39" s="29" t="n">
        <f aca="false">H39*Controls!$B$52</f>
        <v>1202172.32844695</v>
      </c>
      <c r="J39" s="29" t="n">
        <f aca="false">'City Fiscal'!$B$5+(H39*Controls!$B$56*Controls!$B$55)+('City Fiscal'!$B$9*B39*F39)</f>
        <v>153394.185416625</v>
      </c>
      <c r="K39" s="29" t="n">
        <f aca="false">J39-('City Fiscal'!$B$13*E39)</f>
        <v>46418.3018333383</v>
      </c>
      <c r="L39" s="30" t="n">
        <f aca="false">'Mobility &amp; Emissions'!$B$21*B39*F39</f>
        <v>90.5592300076614</v>
      </c>
    </row>
    <row r="40" customFormat="false" ht="15" hidden="false" customHeight="true" outlineLevel="0" collapsed="false">
      <c r="A40" s="14" t="n">
        <v>36</v>
      </c>
      <c r="B40" s="47" t="n">
        <v>0.891423516368853</v>
      </c>
      <c r="C40" s="47" t="n">
        <v>0.917903013232484</v>
      </c>
      <c r="D40" s="47" t="n">
        <v>1.10276294623975</v>
      </c>
      <c r="E40" s="47" t="n">
        <v>0.943951200074868</v>
      </c>
      <c r="F40" s="47" t="n">
        <v>0.994887887692519</v>
      </c>
      <c r="G40" s="27" t="n">
        <f aca="false">'Visitor Economics'!$B$5*B40</f>
        <v>28703.8372270771</v>
      </c>
      <c r="H40" s="29" t="n">
        <f aca="false">MAX(0,'Visitor Economics'!$B$18*B40*C40*D40)</f>
        <v>652916.609917318</v>
      </c>
      <c r="I40" s="29" t="n">
        <f aca="false">H40*Controls!$B$52</f>
        <v>927141.586082592</v>
      </c>
      <c r="J40" s="29" t="n">
        <f aca="false">'City Fiscal'!$B$5+(H40*Controls!$B$56*Controls!$B$55)+('City Fiscal'!$B$9*B40*F40)</f>
        <v>143290.847716147</v>
      </c>
      <c r="K40" s="29" t="n">
        <f aca="false">J40-('City Fiscal'!$B$13*E40)</f>
        <v>39456.2157079115</v>
      </c>
      <c r="L40" s="30" t="n">
        <f aca="false">'Mobility &amp; Emissions'!$B$21*B40*F40</f>
        <v>82.7727543138169</v>
      </c>
    </row>
    <row r="41" customFormat="false" ht="15" hidden="false" customHeight="true" outlineLevel="0" collapsed="false">
      <c r="A41" s="14" t="n">
        <v>37</v>
      </c>
      <c r="B41" s="47" t="n">
        <v>0.92159268319886</v>
      </c>
      <c r="C41" s="47" t="n">
        <v>1.01915358211617</v>
      </c>
      <c r="D41" s="47" t="n">
        <v>1.07007987883508</v>
      </c>
      <c r="E41" s="47" t="n">
        <v>1.08688577621801</v>
      </c>
      <c r="F41" s="47" t="n">
        <v>0.973054865811962</v>
      </c>
      <c r="G41" s="27" t="n">
        <f aca="false">'Visitor Economics'!$B$5*B41</f>
        <v>29675.2843990033</v>
      </c>
      <c r="H41" s="29" t="n">
        <f aca="false">MAX(0,'Visitor Economics'!$B$18*B41*C41*D41)</f>
        <v>727259.697294553</v>
      </c>
      <c r="I41" s="29" t="n">
        <f aca="false">H41*Controls!$B$52</f>
        <v>1032708.77015826</v>
      </c>
      <c r="J41" s="29" t="n">
        <f aca="false">'City Fiscal'!$B$5+(H41*Controls!$B$56*Controls!$B$55)+('City Fiscal'!$B$9*B41*F41)</f>
        <v>144821.913439279</v>
      </c>
      <c r="K41" s="29" t="n">
        <f aca="false">J41-('City Fiscal'!$B$13*E41)</f>
        <v>25264.4780552982</v>
      </c>
      <c r="L41" s="30" t="n">
        <f aca="false">'Mobility &amp; Emissions'!$B$21*B41*F41</f>
        <v>83.6961581287133</v>
      </c>
    </row>
    <row r="42" customFormat="false" ht="15" hidden="false" customHeight="true" outlineLevel="0" collapsed="false">
      <c r="A42" s="14" t="n">
        <v>38</v>
      </c>
      <c r="B42" s="47" t="n">
        <v>0.938097619082227</v>
      </c>
      <c r="C42" s="47" t="n">
        <v>0.897595102938265</v>
      </c>
      <c r="D42" s="47" t="n">
        <v>0.933373726563581</v>
      </c>
      <c r="E42" s="47" t="n">
        <v>1.0474876546973</v>
      </c>
      <c r="F42" s="47" t="n">
        <v>1.01260458522935</v>
      </c>
      <c r="G42" s="27" t="n">
        <f aca="false">'Visitor Economics'!$B$5*B42</f>
        <v>30206.7433344477</v>
      </c>
      <c r="H42" s="29" t="n">
        <f aca="false">MAX(0,'Visitor Economics'!$B$18*B42*C42*D42)</f>
        <v>568694.135329856</v>
      </c>
      <c r="I42" s="29" t="n">
        <f aca="false">H42*Controls!$B$52</f>
        <v>807545.672168396</v>
      </c>
      <c r="J42" s="29" t="n">
        <f aca="false">'City Fiscal'!$B$5+(H42*Controls!$B$56*Controls!$B$55)+('City Fiscal'!$B$9*B42*F42)</f>
        <v>149432.67266192</v>
      </c>
      <c r="K42" s="29" t="n">
        <f aca="false">J42-('City Fiscal'!$B$13*E42)</f>
        <v>34209.0306452172</v>
      </c>
      <c r="L42" s="30" t="n">
        <f aca="false">'Mobility &amp; Emissions'!$B$21*B42*F42</f>
        <v>88.6578305051848</v>
      </c>
    </row>
    <row r="43" customFormat="false" ht="15" hidden="false" customHeight="true" outlineLevel="0" collapsed="false">
      <c r="A43" s="14" t="n">
        <v>39</v>
      </c>
      <c r="B43" s="47" t="n">
        <v>0.822398113165564</v>
      </c>
      <c r="C43" s="47" t="n">
        <v>0.937</v>
      </c>
      <c r="D43" s="47" t="n">
        <v>0.913939911900822</v>
      </c>
      <c r="E43" s="47" t="n">
        <v>0.989798409886548</v>
      </c>
      <c r="F43" s="47" t="n">
        <v>0.989830254237057</v>
      </c>
      <c r="G43" s="27" t="n">
        <f aca="false">'Visitor Economics'!$B$5*B43</f>
        <v>26481.2192439312</v>
      </c>
      <c r="H43" s="29" t="n">
        <f aca="false">MAX(0,'Visitor Economics'!$B$18*B43*C43*D43)</f>
        <v>509605.385715238</v>
      </c>
      <c r="I43" s="29" t="n">
        <f aca="false">H43*Controls!$B$52</f>
        <v>723639.647715638</v>
      </c>
      <c r="J43" s="29" t="n">
        <f aca="false">'City Fiscal'!$B$5+(H43*Controls!$B$56*Controls!$B$55)+('City Fiscal'!$B$9*B43*F43)</f>
        <v>134637.727972781</v>
      </c>
      <c r="K43" s="29" t="n">
        <f aca="false">J43-('City Fiscal'!$B$13*E43)</f>
        <v>25759.9028852611</v>
      </c>
      <c r="L43" s="30" t="n">
        <f aca="false">'Mobility &amp; Emissions'!$B$21*B43*F43</f>
        <v>75.975226864545</v>
      </c>
    </row>
    <row r="44" customFormat="false" ht="15" hidden="false" customHeight="true" outlineLevel="0" collapsed="false">
      <c r="A44" s="14" t="n">
        <v>40</v>
      </c>
      <c r="B44" s="47" t="n">
        <v>0.899709648733926</v>
      </c>
      <c r="C44" s="47" t="n">
        <v>0.945463141997959</v>
      </c>
      <c r="D44" s="47" t="n">
        <v>1.0565478095239</v>
      </c>
      <c r="E44" s="47" t="n">
        <v>1.00872992311519</v>
      </c>
      <c r="F44" s="47" t="n">
        <v>0.9603290532906</v>
      </c>
      <c r="G44" s="27" t="n">
        <f aca="false">'Visitor Economics'!$B$5*B44</f>
        <v>28970.6506892324</v>
      </c>
      <c r="H44" s="29" t="n">
        <f aca="false">MAX(0,'Visitor Economics'!$B$18*B44*C44*D44)</f>
        <v>650325.531368387</v>
      </c>
      <c r="I44" s="29" t="n">
        <f aca="false">H44*Controls!$B$52</f>
        <v>923462.254543109</v>
      </c>
      <c r="J44" s="29" t="n">
        <f aca="false">'City Fiscal'!$B$5+(H44*Controls!$B$56*Controls!$B$55)+('City Fiscal'!$B$9*B44*F44)</f>
        <v>140850.705872273</v>
      </c>
      <c r="K44" s="29" t="n">
        <f aca="false">J44-('City Fiscal'!$B$13*E44)</f>
        <v>29890.4143296019</v>
      </c>
      <c r="L44" s="30" t="n">
        <f aca="false">'Mobility &amp; Emissions'!$B$21*B44*F44</f>
        <v>80.640204857525</v>
      </c>
    </row>
    <row r="45" customFormat="false" ht="15" hidden="false" customHeight="true" outlineLevel="0" collapsed="false">
      <c r="A45" s="14" t="n">
        <v>41</v>
      </c>
      <c r="B45" s="47" t="n">
        <v>0.823570632311225</v>
      </c>
      <c r="C45" s="47" t="n">
        <v>0.840124611797498</v>
      </c>
      <c r="D45" s="47" t="n">
        <v>1.00870920034117</v>
      </c>
      <c r="E45" s="47" t="n">
        <v>1.16418770484365</v>
      </c>
      <c r="F45" s="47" t="n">
        <v>1.09248913146196</v>
      </c>
      <c r="G45" s="27" t="n">
        <f aca="false">'Visitor Economics'!$B$5*B45</f>
        <v>26518.9743604214</v>
      </c>
      <c r="H45" s="29" t="n">
        <f aca="false">MAX(0,'Visitor Economics'!$B$18*B45*C45*D45)</f>
        <v>505016.08523711</v>
      </c>
      <c r="I45" s="29" t="n">
        <f aca="false">H45*Controls!$B$52</f>
        <v>717122.841036696</v>
      </c>
      <c r="J45" s="29" t="n">
        <f aca="false">'City Fiscal'!$B$5+(H45*Controls!$B$56*Controls!$B$55)+('City Fiscal'!$B$9*B45*F45)</f>
        <v>143698.012340642</v>
      </c>
      <c r="K45" s="29" t="n">
        <f aca="false">J45-('City Fiscal'!$B$13*E45)</f>
        <v>15637.3648078408</v>
      </c>
      <c r="L45" s="30" t="n">
        <f aca="false">'Mobility &amp; Emissions'!$B$21*B45*F45</f>
        <v>83.9744471353091</v>
      </c>
    </row>
    <row r="46" customFormat="false" ht="15" hidden="false" customHeight="true" outlineLevel="0" collapsed="false">
      <c r="A46" s="14" t="n">
        <v>42</v>
      </c>
      <c r="B46" s="47" t="n">
        <v>0.874271947046828</v>
      </c>
      <c r="C46" s="47" t="n">
        <v>0.919272352646646</v>
      </c>
      <c r="D46" s="47" t="n">
        <v>0.979132870214839</v>
      </c>
      <c r="E46" s="47" t="n">
        <v>1.05042858421107</v>
      </c>
      <c r="F46" s="47" t="n">
        <v>1.03926382704825</v>
      </c>
      <c r="G46" s="27" t="n">
        <f aca="false">'Visitor Economics'!$B$5*B46</f>
        <v>28151.5566949079</v>
      </c>
      <c r="H46" s="29" t="n">
        <f aca="false">MAX(0,'Visitor Economics'!$B$18*B46*C46*D46)</f>
        <v>569412.559429128</v>
      </c>
      <c r="I46" s="29" t="n">
        <f aca="false">H46*Controls!$B$52</f>
        <v>808565.834389361</v>
      </c>
      <c r="J46" s="29" t="n">
        <f aca="false">'City Fiscal'!$B$5+(H46*Controls!$B$56*Controls!$B$55)+('City Fiscal'!$B$9*B46*F46)</f>
        <v>145054.689802957</v>
      </c>
      <c r="K46" s="29" t="n">
        <f aca="false">J46-('City Fiscal'!$B$13*E46)</f>
        <v>29507.5455397392</v>
      </c>
      <c r="L46" s="30" t="n">
        <f aca="false">'Mobility &amp; Emissions'!$B$21*B46*F46</f>
        <v>84.8011088477134</v>
      </c>
    </row>
    <row r="47" customFormat="false" ht="15" hidden="false" customHeight="true" outlineLevel="0" collapsed="false">
      <c r="A47" s="14" t="n">
        <v>43</v>
      </c>
      <c r="B47" s="47" t="n">
        <v>0.946108187192355</v>
      </c>
      <c r="C47" s="47" t="n">
        <v>0.838734993995195</v>
      </c>
      <c r="D47" s="47" t="n">
        <v>1.1224313910086</v>
      </c>
      <c r="E47" s="47" t="n">
        <v>0.987272532114511</v>
      </c>
      <c r="F47" s="47" t="n">
        <v>1.05221196392196</v>
      </c>
      <c r="G47" s="27" t="n">
        <f aca="false">'Visitor Economics'!$B$5*B47</f>
        <v>30464.6836275938</v>
      </c>
      <c r="H47" s="29" t="n">
        <f aca="false">MAX(0,'Visitor Economics'!$B$18*B47*C47*D47)</f>
        <v>644495.719872055</v>
      </c>
      <c r="I47" s="29" t="n">
        <f aca="false">H47*Controls!$B$52</f>
        <v>915183.922218318</v>
      </c>
      <c r="J47" s="29" t="n">
        <f aca="false">'City Fiscal'!$B$5+(H47*Controls!$B$56*Controls!$B$55)+('City Fiscal'!$B$9*B47*F47)</f>
        <v>154758.491758254</v>
      </c>
      <c r="K47" s="29" t="n">
        <f aca="false">J47-('City Fiscal'!$B$13*E47)</f>
        <v>46158.5132256574</v>
      </c>
      <c r="L47" s="30" t="n">
        <f aca="false">'Mobility &amp; Emissions'!$B$21*B47*F47</f>
        <v>92.9123003542648</v>
      </c>
    </row>
    <row r="48" customFormat="false" ht="15" hidden="false" customHeight="true" outlineLevel="0" collapsed="false">
      <c r="A48" s="14" t="n">
        <v>44</v>
      </c>
      <c r="B48" s="47" t="n">
        <v>0.858948084207281</v>
      </c>
      <c r="C48" s="47" t="n">
        <v>1.07821483516845</v>
      </c>
      <c r="D48" s="47" t="n">
        <v>0.935383075011405</v>
      </c>
      <c r="E48" s="47" t="n">
        <v>1.04881911124563</v>
      </c>
      <c r="F48" s="47" t="n">
        <v>1.01146300133177</v>
      </c>
      <c r="G48" s="27" t="n">
        <f aca="false">'Visitor Economics'!$B$5*B48</f>
        <v>27658.1283114744</v>
      </c>
      <c r="H48" s="29" t="n">
        <f aca="false">MAX(0,'Visitor Economics'!$B$18*B48*C48*D48)</f>
        <v>626839.557524632</v>
      </c>
      <c r="I48" s="29" t="n">
        <f aca="false">H48*Controls!$B$52</f>
        <v>890112.171684977</v>
      </c>
      <c r="J48" s="29" t="n">
        <f aca="false">'City Fiscal'!$B$5+(H48*Controls!$B$56*Controls!$B$55)+('City Fiscal'!$B$9*B48*F48)</f>
        <v>141205.147959925</v>
      </c>
      <c r="K48" s="29" t="n">
        <f aca="false">J48-('City Fiscal'!$B$13*E48)</f>
        <v>25835.0457229056</v>
      </c>
      <c r="L48" s="30" t="n">
        <f aca="false">'Mobility &amp; Emissions'!$B$21*B48*F48</f>
        <v>81.0860403119054</v>
      </c>
    </row>
    <row r="49" customFormat="false" ht="15" hidden="false" customHeight="true" outlineLevel="0" collapsed="false">
      <c r="A49" s="14" t="n">
        <v>45</v>
      </c>
      <c r="B49" s="47" t="n">
        <v>0.905197444063367</v>
      </c>
      <c r="C49" s="47" t="n">
        <v>0.886340033162488</v>
      </c>
      <c r="D49" s="47" t="n">
        <v>0.900959083991241</v>
      </c>
      <c r="E49" s="47" t="n">
        <v>1.1279805343398</v>
      </c>
      <c r="F49" s="47" t="n">
        <v>0.99285482140971</v>
      </c>
      <c r="G49" s="27" t="n">
        <f aca="false">'Visitor Economics'!$B$5*B49</f>
        <v>29147.3576988404</v>
      </c>
      <c r="H49" s="29" t="n">
        <f aca="false">MAX(0,'Visitor Economics'!$B$18*B49*C49*D49)</f>
        <v>523050.260181947</v>
      </c>
      <c r="I49" s="29" t="n">
        <f aca="false">H49*Controls!$B$52</f>
        <v>742731.369458364</v>
      </c>
      <c r="J49" s="29" t="n">
        <f aca="false">'City Fiscal'!$B$5+(H49*Controls!$B$56*Controls!$B$55)+('City Fiscal'!$B$9*B49*F49)</f>
        <v>143707.508599323</v>
      </c>
      <c r="K49" s="29" t="n">
        <f aca="false">J49-('City Fiscal'!$B$13*E49)</f>
        <v>19629.6498219451</v>
      </c>
      <c r="L49" s="30" t="n">
        <f aca="false">'Mobility &amp; Emissions'!$B$21*B49*F49</f>
        <v>83.8799657637428</v>
      </c>
    </row>
    <row r="50" customFormat="false" ht="15" hidden="false" customHeight="true" outlineLevel="0" collapsed="false">
      <c r="A50" s="14" t="n">
        <v>46</v>
      </c>
      <c r="B50" s="47" t="n">
        <v>0.948922577424333</v>
      </c>
      <c r="C50" s="47" t="n">
        <v>1.05985018703271</v>
      </c>
      <c r="D50" s="47" t="n">
        <v>0.972264141222434</v>
      </c>
      <c r="E50" s="47" t="n">
        <v>0.931109405542465</v>
      </c>
      <c r="F50" s="47" t="n">
        <v>1.00526748810305</v>
      </c>
      <c r="G50" s="27" t="n">
        <f aca="false">'Visitor Economics'!$B$5*B50</f>
        <v>30555.3069930635</v>
      </c>
      <c r="H50" s="29" t="n">
        <f aca="false">MAX(0,'Visitor Economics'!$B$18*B50*C50*D50)</f>
        <v>707545.215670951</v>
      </c>
      <c r="I50" s="29" t="n">
        <f aca="false">H50*Controls!$B$52</f>
        <v>1004714.20625275</v>
      </c>
      <c r="J50" s="29" t="n">
        <f aca="false">'City Fiscal'!$B$5+(H50*Controls!$B$56*Controls!$B$55)+('City Fiscal'!$B$9*B50*F50)</f>
        <v>150756.56353326</v>
      </c>
      <c r="K50" s="29" t="n">
        <f aca="false">J50-('City Fiscal'!$B$13*E50)</f>
        <v>48334.5289235885</v>
      </c>
      <c r="L50" s="30" t="n">
        <f aca="false">'Mobility &amp; Emissions'!$B$21*B50*F50</f>
        <v>89.0310700714264</v>
      </c>
    </row>
    <row r="51" customFormat="false" ht="15" hidden="false" customHeight="true" outlineLevel="0" collapsed="false">
      <c r="A51" s="14" t="n">
        <v>47</v>
      </c>
      <c r="B51" s="47" t="n">
        <v>0.856571535181163</v>
      </c>
      <c r="C51" s="47" t="n">
        <v>1.05895903015187</v>
      </c>
      <c r="D51" s="47" t="n">
        <v>0.850082094717553</v>
      </c>
      <c r="E51" s="47" t="n">
        <v>1.13020329720731</v>
      </c>
      <c r="F51" s="47" t="n">
        <v>1.00809334053682</v>
      </c>
      <c r="G51" s="27" t="n">
        <f aca="false">'Visitor Economics'!$B$5*B51</f>
        <v>27581.6034328335</v>
      </c>
      <c r="H51" s="29" t="n">
        <f aca="false">MAX(0,'Visitor Economics'!$B$18*B51*C51*D51)</f>
        <v>557953.921892276</v>
      </c>
      <c r="I51" s="29" t="n">
        <f aca="false">H51*Controls!$B$52</f>
        <v>792294.569087032</v>
      </c>
      <c r="J51" s="29" t="n">
        <f aca="false">'City Fiscal'!$B$5+(H51*Controls!$B$56*Controls!$B$55)+('City Fiscal'!$B$9*B51*F51)</f>
        <v>140197.702670215</v>
      </c>
      <c r="K51" s="29" t="n">
        <f aca="false">J51-('City Fiscal'!$B$13*E51)</f>
        <v>15875.3399774113</v>
      </c>
      <c r="L51" s="30" t="n">
        <f aca="false">'Mobility &amp; Emissions'!$B$21*B51*F51</f>
        <v>80.592301905591</v>
      </c>
    </row>
    <row r="52" customFormat="false" ht="15" hidden="false" customHeight="true" outlineLevel="0" collapsed="false">
      <c r="A52" s="14" t="n">
        <v>48</v>
      </c>
      <c r="B52" s="47" t="n">
        <v>0.851111180555522</v>
      </c>
      <c r="C52" s="47" t="n">
        <v>1.01495715159993</v>
      </c>
      <c r="D52" s="47" t="n">
        <v>1.04561983951469</v>
      </c>
      <c r="E52" s="47" t="n">
        <v>1.05069809333576</v>
      </c>
      <c r="F52" s="47" t="n">
        <v>0.869557607215608</v>
      </c>
      <c r="G52" s="27" t="n">
        <f aca="false">'Visitor Economics'!$B$5*B52</f>
        <v>27405.7800138878</v>
      </c>
      <c r="H52" s="29" t="n">
        <f aca="false">MAX(0,'Visitor Economics'!$B$18*B52*C52*D52)</f>
        <v>653585.619629776</v>
      </c>
      <c r="I52" s="29" t="n">
        <f aca="false">H52*Controls!$B$52</f>
        <v>928091.579874282</v>
      </c>
      <c r="J52" s="29" t="n">
        <f aca="false">'City Fiscal'!$B$5+(H52*Controls!$B$56*Controls!$B$55)+('City Fiscal'!$B$9*B52*F52)</f>
        <v>127728.276488208</v>
      </c>
      <c r="K52" s="29" t="n">
        <f aca="false">J52-('City Fiscal'!$B$13*E52)</f>
        <v>12151.4862212746</v>
      </c>
      <c r="L52" s="30" t="n">
        <f aca="false">'Mobility &amp; Emissions'!$B$21*B52*F52</f>
        <v>69.0738766722464</v>
      </c>
    </row>
    <row r="53" customFormat="false" ht="15" hidden="false" customHeight="true" outlineLevel="0" collapsed="false">
      <c r="A53" s="14" t="n">
        <v>49</v>
      </c>
      <c r="B53" s="47" t="n">
        <v>0.941234525329939</v>
      </c>
      <c r="C53" s="47" t="n">
        <v>0.96239733143567</v>
      </c>
      <c r="D53" s="47" t="n">
        <v>1.10436775769082</v>
      </c>
      <c r="E53" s="47" t="n">
        <v>0.887862360701644</v>
      </c>
      <c r="F53" s="47" t="n">
        <v>0.950734800342285</v>
      </c>
      <c r="G53" s="27" t="n">
        <f aca="false">'Visitor Economics'!$B$5*B53</f>
        <v>30307.751715624</v>
      </c>
      <c r="H53" s="29" t="n">
        <f aca="false">MAX(0,'Visitor Economics'!$B$18*B53*C53*D53)</f>
        <v>723870.115760192</v>
      </c>
      <c r="I53" s="29" t="n">
        <f aca="false">H53*Controls!$B$52</f>
        <v>1027895.56437947</v>
      </c>
      <c r="J53" s="29" t="n">
        <f aca="false">'City Fiscal'!$B$5+(H53*Controls!$B$56*Controls!$B$55)+('City Fiscal'!$B$9*B53*F53)</f>
        <v>144598.879997285</v>
      </c>
      <c r="K53" s="29" t="n">
        <f aca="false">J53-('City Fiscal'!$B$13*E53)</f>
        <v>46934.0203201044</v>
      </c>
      <c r="L53" s="30" t="n">
        <f aca="false">'Mobility &amp; Emissions'!$B$21*B53*F53</f>
        <v>83.5192174495001</v>
      </c>
    </row>
    <row r="54" customFormat="false" ht="15" hidden="false" customHeight="true" outlineLevel="0" collapsed="false">
      <c r="A54" s="14" t="n">
        <v>50</v>
      </c>
      <c r="B54" s="47" t="n">
        <v>0.841754352073356</v>
      </c>
      <c r="C54" s="47" t="n">
        <v>1.00815188870616</v>
      </c>
      <c r="D54" s="47" t="n">
        <v>0.830331898434293</v>
      </c>
      <c r="E54" s="47" t="n">
        <v>1.08010665110135</v>
      </c>
      <c r="F54" s="47" t="n">
        <v>0.978773056188009</v>
      </c>
      <c r="G54" s="27" t="n">
        <f aca="false">'Visitor Economics'!$B$5*B54</f>
        <v>27104.4901367621</v>
      </c>
      <c r="H54" s="29" t="n">
        <f aca="false">MAX(0,'Visitor Economics'!$B$18*B54*C54*D54)</f>
        <v>509867.970077403</v>
      </c>
      <c r="I54" s="29" t="n">
        <f aca="false">H54*Controls!$B$52</f>
        <v>724012.517509912</v>
      </c>
      <c r="J54" s="29" t="n">
        <f aca="false">'City Fiscal'!$B$5+(H54*Controls!$B$56*Controls!$B$55)+('City Fiscal'!$B$9*B54*F54)</f>
        <v>135684.314629056</v>
      </c>
      <c r="K54" s="29" t="n">
        <f aca="false">J54-('City Fiscal'!$B$13*E54)</f>
        <v>16872.5830079077</v>
      </c>
      <c r="L54" s="30" t="n">
        <f aca="false">'Mobility &amp; Emissions'!$B$21*B54*F54</f>
        <v>76.8947257610001</v>
      </c>
    </row>
    <row r="55" customFormat="false" ht="15" hidden="false" customHeight="true" outlineLevel="0" collapsed="false">
      <c r="A55" s="14" t="n">
        <v>51</v>
      </c>
      <c r="B55" s="47" t="n">
        <v>0.899989999583299</v>
      </c>
      <c r="C55" s="47" t="n">
        <v>0.90616843969807</v>
      </c>
      <c r="D55" s="47" t="n">
        <v>0.87066587009454</v>
      </c>
      <c r="E55" s="47" t="n">
        <v>1.14920937543601</v>
      </c>
      <c r="F55" s="47" t="n">
        <v>1.0961251450118</v>
      </c>
      <c r="G55" s="27" t="n">
        <f aca="false">'Visitor Economics'!$B$5*B55</f>
        <v>28979.6779865822</v>
      </c>
      <c r="H55" s="29" t="n">
        <f aca="false">MAX(0,'Visitor Economics'!$B$18*B55*C55*D55)</f>
        <v>513798.469432392</v>
      </c>
      <c r="I55" s="29" t="n">
        <f aca="false">H55*Controls!$B$52</f>
        <v>729593.826593997</v>
      </c>
      <c r="J55" s="29" t="n">
        <f aca="false">'City Fiscal'!$B$5+(H55*Controls!$B$56*Controls!$B$55)+('City Fiscal'!$B$9*B55*F55)</f>
        <v>152956.54794802</v>
      </c>
      <c r="K55" s="29" t="n">
        <f aca="false">J55-('City Fiscal'!$B$13*E55)</f>
        <v>26543.5166500588</v>
      </c>
      <c r="L55" s="30" t="n">
        <f aca="false">'Mobility &amp; Emissions'!$B$21*B55*F55</f>
        <v>92.0718778021662</v>
      </c>
    </row>
    <row r="56" customFormat="false" ht="15" hidden="false" customHeight="true" outlineLevel="0" collapsed="false">
      <c r="A56" s="14" t="n">
        <v>52</v>
      </c>
      <c r="B56" s="47" t="n">
        <v>0.991225010860124</v>
      </c>
      <c r="C56" s="47" t="n">
        <v>0.991157821907151</v>
      </c>
      <c r="D56" s="47" t="n">
        <v>1.02613899401638</v>
      </c>
      <c r="E56" s="47" t="n">
        <v>1.12322756608789</v>
      </c>
      <c r="F56" s="47" t="n">
        <v>1.05290468600391</v>
      </c>
      <c r="G56" s="27" t="n">
        <f aca="false">'Visitor Economics'!$B$5*B56</f>
        <v>31917.445349696</v>
      </c>
      <c r="H56" s="29" t="n">
        <f aca="false">MAX(0,'Visitor Economics'!$B$18*B56*C56*D56)</f>
        <v>729484.259599889</v>
      </c>
      <c r="I56" s="29" t="n">
        <f aca="false">H56*Controls!$B$52</f>
        <v>1035867.64863184</v>
      </c>
      <c r="J56" s="29" t="n">
        <f aca="false">'City Fiscal'!$B$5+(H56*Controls!$B$56*Controls!$B$55)+('City Fiscal'!$B$9*B56*F56)</f>
        <v>160416.911982716</v>
      </c>
      <c r="K56" s="29" t="n">
        <f aca="false">J56-('City Fiscal'!$B$13*E56)</f>
        <v>36861.8797130485</v>
      </c>
      <c r="L56" s="30" t="n">
        <f aca="false">'Mobility &amp; Emissions'!$B$21*B56*F56</f>
        <v>97.4070715028481</v>
      </c>
    </row>
    <row r="57" customFormat="false" ht="15" hidden="false" customHeight="true" outlineLevel="0" collapsed="false">
      <c r="A57" s="14" t="n">
        <v>53</v>
      </c>
      <c r="B57" s="47" t="n">
        <v>0.804931907267596</v>
      </c>
      <c r="C57" s="47" t="n">
        <v>0.98716758058906</v>
      </c>
      <c r="D57" s="47" t="n">
        <v>0.940296288166632</v>
      </c>
      <c r="E57" s="47" t="n">
        <v>0.928287118347475</v>
      </c>
      <c r="F57" s="47" t="n">
        <v>1.07666856063052</v>
      </c>
      <c r="G57" s="27" t="n">
        <f aca="false">'Visitor Economics'!$B$5*B57</f>
        <v>25918.8074140166</v>
      </c>
      <c r="H57" s="29" t="n">
        <f aca="false">MAX(0,'Visitor Economics'!$B$18*B57*C57*D57)</f>
        <v>540641.54890911</v>
      </c>
      <c r="I57" s="29" t="n">
        <f aca="false">H57*Controls!$B$52</f>
        <v>767710.999450936</v>
      </c>
      <c r="J57" s="29" t="n">
        <f aca="false">'City Fiscal'!$B$5+(H57*Controls!$B$56*Controls!$B$55)+('City Fiscal'!$B$9*B57*F57)</f>
        <v>140418.629691872</v>
      </c>
      <c r="K57" s="29" t="n">
        <f aca="false">J57-('City Fiscal'!$B$13*E57)</f>
        <v>38307.04667365</v>
      </c>
      <c r="L57" s="30" t="n">
        <f aca="false">'Mobility &amp; Emissions'!$B$21*B57*F57</f>
        <v>80.8854397603482</v>
      </c>
    </row>
    <row r="58" customFormat="false" ht="15" hidden="false" customHeight="true" outlineLevel="0" collapsed="false">
      <c r="A58" s="14" t="n">
        <v>54</v>
      </c>
      <c r="B58" s="47" t="n">
        <v>0.85979473666853</v>
      </c>
      <c r="C58" s="47" t="n">
        <v>1.03718695754895</v>
      </c>
      <c r="D58" s="47" t="n">
        <v>0.917369938487283</v>
      </c>
      <c r="E58" s="47" t="n">
        <v>1.1486774950961</v>
      </c>
      <c r="F58" s="47" t="n">
        <v>1.0139209788395</v>
      </c>
      <c r="G58" s="27" t="n">
        <f aca="false">'Visitor Economics'!$B$5*B58</f>
        <v>27685.3905207267</v>
      </c>
      <c r="H58" s="29" t="n">
        <f aca="false">MAX(0,'Visitor Economics'!$B$18*B58*C58*D58)</f>
        <v>591958.148648877</v>
      </c>
      <c r="I58" s="29" t="n">
        <f aca="false">H58*Controls!$B$52</f>
        <v>840580.571081405</v>
      </c>
      <c r="J58" s="29" t="n">
        <f aca="false">'City Fiscal'!$B$5+(H58*Controls!$B$56*Controls!$B$55)+('City Fiscal'!$B$9*B58*F58)</f>
        <v>141294.080560028</v>
      </c>
      <c r="K58" s="29" t="n">
        <f aca="false">J58-('City Fiscal'!$B$13*E58)</f>
        <v>14939.5560994573</v>
      </c>
      <c r="L58" s="30" t="n">
        <f aca="false">'Mobility &amp; Emissions'!$B$21*B58*F58</f>
        <v>81.3632087459696</v>
      </c>
    </row>
    <row r="59" customFormat="false" ht="15" hidden="false" customHeight="true" outlineLevel="0" collapsed="false">
      <c r="A59" s="14" t="n">
        <v>55</v>
      </c>
      <c r="B59" s="47" t="n">
        <v>0.898013558543076</v>
      </c>
      <c r="C59" s="47" t="n">
        <v>0.984727046959508</v>
      </c>
      <c r="D59" s="47" t="n">
        <v>1.13200105932679</v>
      </c>
      <c r="E59" s="47" t="n">
        <v>0.942380145448516</v>
      </c>
      <c r="F59" s="47" t="n">
        <v>0.894749301670529</v>
      </c>
      <c r="G59" s="27" t="n">
        <f aca="false">'Visitor Economics'!$B$5*B59</f>
        <v>28916.036585087</v>
      </c>
      <c r="H59" s="29" t="n">
        <f aca="false">MAX(0,'Visitor Economics'!$B$18*B59*C59*D59)</f>
        <v>724336.321606372</v>
      </c>
      <c r="I59" s="29" t="n">
        <f aca="false">H59*Controls!$B$52</f>
        <v>1028557.57668105</v>
      </c>
      <c r="J59" s="29" t="n">
        <f aca="false">'City Fiscal'!$B$5+(H59*Controls!$B$56*Controls!$B$55)+('City Fiscal'!$B$9*B59*F59)</f>
        <v>134911.587279109</v>
      </c>
      <c r="K59" s="29" t="n">
        <f aca="false">J59-('City Fiscal'!$B$13*E59)</f>
        <v>31249.7712797718</v>
      </c>
      <c r="L59" s="30" t="n">
        <f aca="false">'Mobility &amp; Emissions'!$B$21*B59*F59</f>
        <v>74.9917413652873</v>
      </c>
    </row>
    <row r="60" customFormat="false" ht="15" hidden="false" customHeight="true" outlineLevel="0" collapsed="false">
      <c r="A60" s="14" t="n">
        <v>56</v>
      </c>
      <c r="B60" s="47" t="n">
        <v>0.92074275845058</v>
      </c>
      <c r="C60" s="47" t="n">
        <v>0.913962758580195</v>
      </c>
      <c r="D60" s="47" t="n">
        <v>1.07912358266864</v>
      </c>
      <c r="E60" s="47" t="n">
        <v>0.917372994202705</v>
      </c>
      <c r="F60" s="47" t="n">
        <v>0.883203915431768</v>
      </c>
      <c r="G60" s="27" t="n">
        <f aca="false">'Visitor Economics'!$B$5*B60</f>
        <v>29647.9168221087</v>
      </c>
      <c r="H60" s="29" t="n">
        <f aca="false">MAX(0,'Visitor Economics'!$B$18*B60*C60*D60)</f>
        <v>657101.811942839</v>
      </c>
      <c r="I60" s="29" t="n">
        <f aca="false">H60*Controls!$B$52</f>
        <v>933084.572958831</v>
      </c>
      <c r="J60" s="29" t="n">
        <f aca="false">'City Fiscal'!$B$5+(H60*Controls!$B$56*Controls!$B$55)+('City Fiscal'!$B$9*B60*F60)</f>
        <v>135505.378046554</v>
      </c>
      <c r="K60" s="29" t="n">
        <f aca="false">J60-('City Fiscal'!$B$13*E60)</f>
        <v>34594.3486842564</v>
      </c>
      <c r="L60" s="30" t="n">
        <f aca="false">'Mobility &amp; Emissions'!$B$21*B60*F60</f>
        <v>75.8976753085446</v>
      </c>
    </row>
    <row r="61" customFormat="false" ht="15" hidden="false" customHeight="true" outlineLevel="0" collapsed="false">
      <c r="A61" s="14" t="n">
        <v>57</v>
      </c>
      <c r="B61" s="47" t="n">
        <v>0.93053492301462</v>
      </c>
      <c r="C61" s="47" t="n">
        <v>1.06683986455999</v>
      </c>
      <c r="D61" s="47" t="n">
        <v>0.96147424059629</v>
      </c>
      <c r="E61" s="47" t="n">
        <v>1.22356612022423</v>
      </c>
      <c r="F61" s="47" t="n">
        <v>0.975049990003998</v>
      </c>
      <c r="G61" s="27" t="n">
        <f aca="false">'Visitor Economics'!$B$5*B61</f>
        <v>29963.2245210708</v>
      </c>
      <c r="H61" s="29" t="n">
        <f aca="false">MAX(0,'Visitor Economics'!$B$18*B61*C61*D61)</f>
        <v>690659.890287456</v>
      </c>
      <c r="I61" s="29" t="n">
        <f aca="false">H61*Controls!$B$52</f>
        <v>980737.044208187</v>
      </c>
      <c r="J61" s="29" t="n">
        <f aca="false">'City Fiscal'!$B$5+(H61*Controls!$B$56*Controls!$B$55)+('City Fiscal'!$B$9*B61*F61)</f>
        <v>145704.496168202</v>
      </c>
      <c r="K61" s="29" t="n">
        <f aca="false">J61-('City Fiscal'!$B$13*E61)</f>
        <v>11112.2229435365</v>
      </c>
      <c r="L61" s="30" t="n">
        <f aca="false">'Mobility &amp; Emissions'!$B$21*B61*F61</f>
        <v>84.6815376696424</v>
      </c>
    </row>
    <row r="62" customFormat="false" ht="15" hidden="false" customHeight="true" outlineLevel="0" collapsed="false">
      <c r="A62" s="14" t="n">
        <v>58</v>
      </c>
      <c r="B62" s="47" t="n">
        <v>0.944660767192651</v>
      </c>
      <c r="C62" s="47" t="n">
        <v>0.861892720131307</v>
      </c>
      <c r="D62" s="47" t="n">
        <v>0.980942031441906</v>
      </c>
      <c r="E62" s="47" t="n">
        <v>0.998899133592089</v>
      </c>
      <c r="F62" s="47" t="n">
        <v>1.08044786128378</v>
      </c>
      <c r="G62" s="27" t="n">
        <f aca="false">'Visitor Economics'!$B$5*B62</f>
        <v>30418.0767036034</v>
      </c>
      <c r="H62" s="29" t="n">
        <f aca="false">MAX(0,'Visitor Economics'!$B$18*B62*C62*D62)</f>
        <v>577919.175468246</v>
      </c>
      <c r="I62" s="29" t="n">
        <f aca="false">H62*Controls!$B$52</f>
        <v>820645.229164909</v>
      </c>
      <c r="J62" s="29" t="n">
        <f aca="false">'City Fiscal'!$B$5+(H62*Controls!$B$56*Controls!$B$55)+('City Fiscal'!$B$9*B62*F62)</f>
        <v>156994.490626997</v>
      </c>
      <c r="K62" s="29" t="n">
        <f aca="false">J62-('City Fiscal'!$B$13*E62)</f>
        <v>47115.5859318671</v>
      </c>
      <c r="L62" s="30" t="n">
        <f aca="false">'Mobility &amp; Emissions'!$B$21*B62*F62</f>
        <v>95.2596254455671</v>
      </c>
    </row>
    <row r="63" customFormat="false" ht="15" hidden="false" customHeight="true" outlineLevel="0" collapsed="false">
      <c r="A63" s="14" t="n">
        <v>59</v>
      </c>
      <c r="B63" s="47" t="n">
        <v>0.866269345656496</v>
      </c>
      <c r="C63" s="47" t="n">
        <v>1.0107571512638</v>
      </c>
      <c r="D63" s="47" t="n">
        <v>0.998919848346375</v>
      </c>
      <c r="E63" s="47" t="n">
        <v>1.01967143034352</v>
      </c>
      <c r="F63" s="47" t="n">
        <v>1.07220218512066</v>
      </c>
      <c r="G63" s="27" t="n">
        <f aca="false">'Visitor Economics'!$B$5*B63</f>
        <v>27893.8729301392</v>
      </c>
      <c r="H63" s="29" t="n">
        <f aca="false">MAX(0,'Visitor Economics'!$B$18*B63*C63*D63)</f>
        <v>632885.406165073</v>
      </c>
      <c r="I63" s="29" t="n">
        <f aca="false">H63*Controls!$B$52</f>
        <v>898697.276754403</v>
      </c>
      <c r="J63" s="29" t="n">
        <f aca="false">'City Fiscal'!$B$5+(H63*Controls!$B$56*Controls!$B$55)+('City Fiscal'!$B$9*B63*F63)</f>
        <v>147610.149208702</v>
      </c>
      <c r="K63" s="29" t="n">
        <f aca="false">J63-('City Fiscal'!$B$13*E63)</f>
        <v>35446.2918709144</v>
      </c>
      <c r="L63" s="30" t="n">
        <f aca="false">'Mobility &amp; Emissions'!$B$21*B63*F63</f>
        <v>86.6879655635417</v>
      </c>
    </row>
    <row r="64" customFormat="false" ht="15" hidden="false" customHeight="true" outlineLevel="0" collapsed="false">
      <c r="A64" s="14" t="n">
        <v>60</v>
      </c>
      <c r="B64" s="47" t="n">
        <v>0.920380724756702</v>
      </c>
      <c r="C64" s="47" t="n">
        <v>0.946534580253779</v>
      </c>
      <c r="D64" s="47" t="n">
        <v>1.02509168534712</v>
      </c>
      <c r="E64" s="47" t="n">
        <v>0.964962408920382</v>
      </c>
      <c r="F64" s="47" t="n">
        <v>0.983069530697301</v>
      </c>
      <c r="G64" s="27" t="n">
        <f aca="false">'Visitor Economics'!$B$5*B64</f>
        <v>29636.2593371658</v>
      </c>
      <c r="H64" s="29" t="n">
        <f aca="false">MAX(0,'Visitor Economics'!$B$18*B64*C64*D64)</f>
        <v>646191.707071861</v>
      </c>
      <c r="I64" s="29" t="n">
        <f aca="false">H64*Controls!$B$52</f>
        <v>917592.224042043</v>
      </c>
      <c r="J64" s="29" t="n">
        <f aca="false">'City Fiscal'!$B$5+(H64*Controls!$B$56*Controls!$B$55)+('City Fiscal'!$B$9*B64*F64)</f>
        <v>145149.093356683</v>
      </c>
      <c r="K64" s="29" t="n">
        <f aca="false">J64-('City Fiscal'!$B$13*E64)</f>
        <v>39003.2283754414</v>
      </c>
      <c r="L64" s="30" t="n">
        <f aca="false">'Mobility &amp; Emissions'!$B$21*B64*F64</f>
        <v>84.4463585634749</v>
      </c>
    </row>
    <row r="65" customFormat="false" ht="15" hidden="false" customHeight="true" outlineLevel="0" collapsed="false">
      <c r="A65" s="14" t="n">
        <v>61</v>
      </c>
      <c r="B65" s="47" t="n">
        <v>0.91977982687069</v>
      </c>
      <c r="C65" s="47" t="n">
        <v>0.995211301005386</v>
      </c>
      <c r="D65" s="47" t="n">
        <v>0.908019139194107</v>
      </c>
      <c r="E65" s="47" t="n">
        <v>0.938850746737242</v>
      </c>
      <c r="F65" s="47" t="n">
        <v>1.07249193590342</v>
      </c>
      <c r="G65" s="27" t="n">
        <f aca="false">'Visitor Economics'!$B$5*B65</f>
        <v>29616.9104252362</v>
      </c>
      <c r="H65" s="29" t="n">
        <f aca="false">MAX(0,'Visitor Economics'!$B$18*B65*C65*D65)</f>
        <v>601435.212483828</v>
      </c>
      <c r="I65" s="29" t="n">
        <f aca="false">H65*Controls!$B$52</f>
        <v>854038.001727035</v>
      </c>
      <c r="J65" s="29" t="n">
        <f aca="false">'City Fiscal'!$B$5+(H65*Controls!$B$56*Controls!$B$55)+('City Fiscal'!$B$9*B65*F65)</f>
        <v>153519.637888462</v>
      </c>
      <c r="K65" s="29" t="n">
        <f aca="false">J65-('City Fiscal'!$B$13*E65)</f>
        <v>50246.0557473658</v>
      </c>
      <c r="L65" s="30" t="n">
        <f aca="false">'Mobility &amp; Emissions'!$B$21*B65*F65</f>
        <v>92.0676571861792</v>
      </c>
    </row>
    <row r="66" customFormat="false" ht="15" hidden="false" customHeight="true" outlineLevel="0" collapsed="false">
      <c r="A66" s="14" t="n">
        <v>62</v>
      </c>
      <c r="B66" s="47" t="n">
        <v>0.88031550229152</v>
      </c>
      <c r="C66" s="47" t="n">
        <v>0.982083311910881</v>
      </c>
      <c r="D66" s="47" t="n">
        <v>0.951514722400149</v>
      </c>
      <c r="E66" s="47" t="n">
        <v>1.01734951106864</v>
      </c>
      <c r="F66" s="47" t="n">
        <v>0.868371173070874</v>
      </c>
      <c r="G66" s="27" t="n">
        <f aca="false">'Visitor Economics'!$B$5*B66</f>
        <v>28346.1591737869</v>
      </c>
      <c r="H66" s="29" t="n">
        <f aca="false">MAX(0,'Visitor Economics'!$B$18*B66*C66*D66)</f>
        <v>595246.517257458</v>
      </c>
      <c r="I66" s="29" t="n">
        <f aca="false">H66*Controls!$B$52</f>
        <v>845250.05450559</v>
      </c>
      <c r="J66" s="29" t="n">
        <f aca="false">'City Fiscal'!$B$5+(H66*Controls!$B$56*Controls!$B$55)+('City Fiscal'!$B$9*B66*F66)</f>
        <v>129932.812489516</v>
      </c>
      <c r="K66" s="29" t="n">
        <f aca="false">J66-('City Fiscal'!$B$13*E66)</f>
        <v>18024.3662719655</v>
      </c>
      <c r="L66" s="30" t="n">
        <f aca="false">'Mobility &amp; Emissions'!$B$21*B66*F66</f>
        <v>71.3465412507651</v>
      </c>
    </row>
    <row r="67" customFormat="false" ht="15" hidden="false" customHeight="true" outlineLevel="0" collapsed="false">
      <c r="A67" s="14" t="n">
        <v>63</v>
      </c>
      <c r="B67" s="47" t="n">
        <v>0.92685495182244</v>
      </c>
      <c r="C67" s="47" t="n">
        <v>1.04096836076608</v>
      </c>
      <c r="D67" s="47" t="n">
        <v>1.06303409401712</v>
      </c>
      <c r="E67" s="47" t="n">
        <v>0.886129418566928</v>
      </c>
      <c r="F67" s="47" t="n">
        <v>1.07545135816127</v>
      </c>
      <c r="G67" s="27" t="n">
        <f aca="false">'Visitor Economics'!$B$5*B67</f>
        <v>29844.7294486826</v>
      </c>
      <c r="H67" s="29" t="n">
        <f aca="false">MAX(0,'Visitor Economics'!$B$18*B67*C67*D67)</f>
        <v>742149.103985744</v>
      </c>
      <c r="I67" s="29" t="n">
        <f aca="false">H67*Controls!$B$52</f>
        <v>1053851.72765976</v>
      </c>
      <c r="J67" s="29" t="n">
        <f aca="false">'City Fiscal'!$B$5+(H67*Controls!$B$56*Controls!$B$55)+('City Fiscal'!$B$9*B67*F67)</f>
        <v>155527.153630692</v>
      </c>
      <c r="K67" s="29" t="n">
        <f aca="false">J67-('City Fiscal'!$B$13*E67)</f>
        <v>58052.9175883298</v>
      </c>
      <c r="L67" s="30" t="n">
        <f aca="false">'Mobility &amp; Emissions'!$B$21*B67*F67</f>
        <v>93.0318641444405</v>
      </c>
    </row>
    <row r="68" customFormat="false" ht="15" hidden="false" customHeight="true" outlineLevel="0" collapsed="false">
      <c r="A68" s="14" t="n">
        <v>64</v>
      </c>
      <c r="B68" s="47" t="n">
        <v>0.893957886958297</v>
      </c>
      <c r="C68" s="47" t="n">
        <v>0.996286698307048</v>
      </c>
      <c r="D68" s="47" t="n">
        <v>1.09273032714474</v>
      </c>
      <c r="E68" s="47" t="n">
        <v>1.04044392158661</v>
      </c>
      <c r="F68" s="47" t="n">
        <v>1.03332738110422</v>
      </c>
      <c r="G68" s="27" t="n">
        <f aca="false">'Visitor Economics'!$B$5*B68</f>
        <v>28785.4439600572</v>
      </c>
      <c r="H68" s="29" t="n">
        <f aca="false">MAX(0,'Visitor Economics'!$B$18*B68*C68*D68)</f>
        <v>704221.140475767</v>
      </c>
      <c r="I68" s="29" t="n">
        <f aca="false">H68*Controls!$B$52</f>
        <v>999994.019475589</v>
      </c>
      <c r="J68" s="29" t="n">
        <f aca="false">'City Fiscal'!$B$5+(H68*Controls!$B$56*Controls!$B$55)+('City Fiscal'!$B$9*B68*F68)</f>
        <v>147535.246558756</v>
      </c>
      <c r="K68" s="29" t="n">
        <f aca="false">J68-('City Fiscal'!$B$13*E68)</f>
        <v>33086.4151842285</v>
      </c>
      <c r="L68" s="30" t="n">
        <f aca="false">'Mobility &amp; Emissions'!$B$21*B68*F68</f>
        <v>86.2152663402559</v>
      </c>
    </row>
    <row r="69" customFormat="false" ht="15" hidden="false" customHeight="true" outlineLevel="0" collapsed="false">
      <c r="A69" s="14" t="n">
        <v>65</v>
      </c>
      <c r="B69" s="47" t="n">
        <v>0.890667068272364</v>
      </c>
      <c r="C69" s="47" t="n">
        <v>0.997659787233915</v>
      </c>
      <c r="D69" s="47" t="n">
        <v>1.09843730670115</v>
      </c>
      <c r="E69" s="47" t="n">
        <v>0.883135568422245</v>
      </c>
      <c r="F69" s="47" t="n">
        <v>0.896233105022267</v>
      </c>
      <c r="G69" s="27" t="n">
        <f aca="false">'Visitor Economics'!$B$5*B69</f>
        <v>28679.4795983701</v>
      </c>
      <c r="H69" s="29" t="n">
        <f aca="false">MAX(0,'Visitor Economics'!$B$18*B69*C69*D69)</f>
        <v>706265.198117172</v>
      </c>
      <c r="I69" s="29" t="n">
        <f aca="false">H69*Controls!$B$52</f>
        <v>1002896.58132638</v>
      </c>
      <c r="J69" s="29" t="n">
        <f aca="false">'City Fiscal'!$B$5+(H69*Controls!$B$56*Controls!$B$55)+('City Fiscal'!$B$9*B69*F69)</f>
        <v>134237.498482602</v>
      </c>
      <c r="K69" s="29" t="n">
        <f aca="false">J69-('City Fiscal'!$B$13*E69)</f>
        <v>37092.5859561554</v>
      </c>
      <c r="L69" s="30" t="n">
        <f aca="false">'Mobility &amp; Emissions'!$B$21*B69*F69</f>
        <v>74.5015919989468</v>
      </c>
    </row>
    <row r="70" customFormat="false" ht="15" hidden="false" customHeight="true" outlineLevel="0" collapsed="false">
      <c r="A70" s="14" t="n">
        <v>66</v>
      </c>
      <c r="B70" s="47" t="n">
        <v>0.966222681361005</v>
      </c>
      <c r="C70" s="47" t="n">
        <v>0.904267431431129</v>
      </c>
      <c r="D70" s="47" t="n">
        <v>0.94908607275586</v>
      </c>
      <c r="E70" s="47" t="n">
        <v>0.988654973244195</v>
      </c>
      <c r="F70" s="47" t="n">
        <v>1.10328276549281</v>
      </c>
      <c r="G70" s="27" t="n">
        <f aca="false">'Visitor Economics'!$B$5*B70</f>
        <v>31112.3703398244</v>
      </c>
      <c r="H70" s="29" t="n">
        <f aca="false">MAX(0,'Visitor Economics'!$B$18*B70*C70*D70)</f>
        <v>600031.96577514</v>
      </c>
      <c r="I70" s="29" t="n">
        <f aca="false">H70*Controls!$B$52</f>
        <v>852045.391400698</v>
      </c>
      <c r="J70" s="29" t="n">
        <f aca="false">'City Fiscal'!$B$5+(H70*Controls!$B$56*Controls!$B$55)+('City Fiscal'!$B$9*B70*F70)</f>
        <v>161948.619816329</v>
      </c>
      <c r="K70" s="29" t="n">
        <f aca="false">J70-('City Fiscal'!$B$13*E70)</f>
        <v>53196.5727594678</v>
      </c>
      <c r="L70" s="30" t="n">
        <f aca="false">'Mobility &amp; Emissions'!$B$21*B70*F70</f>
        <v>99.4931631567336</v>
      </c>
    </row>
    <row r="71" customFormat="false" ht="15" hidden="false" customHeight="true" outlineLevel="0" collapsed="false">
      <c r="A71" s="14" t="n">
        <v>67</v>
      </c>
      <c r="B71" s="47" t="n">
        <v>0.886015093265063</v>
      </c>
      <c r="C71" s="47" t="n">
        <v>0.940187353744061</v>
      </c>
      <c r="D71" s="47" t="n">
        <v>1.18633093372759</v>
      </c>
      <c r="E71" s="47" t="n">
        <v>1.00040783265495</v>
      </c>
      <c r="F71" s="47" t="n">
        <v>0.975767642897528</v>
      </c>
      <c r="G71" s="27" t="n">
        <f aca="false">'Visitor Economics'!$B$5*B71</f>
        <v>28529.686003135</v>
      </c>
      <c r="H71" s="29" t="n">
        <f aca="false">MAX(0,'Visitor Economics'!$B$18*B71*C71*D71)</f>
        <v>715082.33540042</v>
      </c>
      <c r="I71" s="29" t="n">
        <f aca="false">H71*Controls!$B$52</f>
        <v>1015416.9162686</v>
      </c>
      <c r="J71" s="29" t="n">
        <f aca="false">'City Fiscal'!$B$5+(H71*Controls!$B$56*Controls!$B$55)+('City Fiscal'!$B$9*B71*F71)</f>
        <v>141326.280611318</v>
      </c>
      <c r="K71" s="29" t="n">
        <f aca="false">J71-('City Fiscal'!$B$13*E71)</f>
        <v>31281.4190192737</v>
      </c>
      <c r="L71" s="30" t="n">
        <f aca="false">'Mobility &amp; Emissions'!$B$21*B71*F71</f>
        <v>80.6894414285726</v>
      </c>
    </row>
    <row r="72" customFormat="false" ht="15" hidden="false" customHeight="true" outlineLevel="0" collapsed="false">
      <c r="A72" s="14" t="n">
        <v>68</v>
      </c>
      <c r="B72" s="47" t="n">
        <v>0.803545700244418</v>
      </c>
      <c r="C72" s="47" t="n">
        <v>0.997507746309844</v>
      </c>
      <c r="D72" s="47" t="n">
        <v>1.08578596284118</v>
      </c>
      <c r="E72" s="47" t="n">
        <v>1.08042332117888</v>
      </c>
      <c r="F72" s="47" t="n">
        <v>0.900423208941915</v>
      </c>
      <c r="G72" s="27" t="n">
        <f aca="false">'Visitor Economics'!$B$5*B72</f>
        <v>25874.1715478703</v>
      </c>
      <c r="H72" s="29" t="n">
        <f aca="false">MAX(0,'Visitor Economics'!$B$18*B72*C72*D72)</f>
        <v>629746.48310514</v>
      </c>
      <c r="I72" s="29" t="n">
        <f aca="false">H72*Controls!$B$52</f>
        <v>894240.006009299</v>
      </c>
      <c r="J72" s="29" t="n">
        <f aca="false">'City Fiscal'!$B$5+(H72*Controls!$B$56*Controls!$B$55)+('City Fiscal'!$B$9*B72*F72)</f>
        <v>125817.57165063</v>
      </c>
      <c r="K72" s="29" t="n">
        <f aca="false">J72-('City Fiscal'!$B$13*E72)</f>
        <v>6971.00632095283</v>
      </c>
      <c r="L72" s="30" t="n">
        <f aca="false">'Mobility &amp; Emissions'!$B$21*B72*F72</f>
        <v>67.5283967072953</v>
      </c>
    </row>
    <row r="73" customFormat="false" ht="15" hidden="false" customHeight="true" outlineLevel="0" collapsed="false">
      <c r="A73" s="14" t="n">
        <v>69</v>
      </c>
      <c r="B73" s="47" t="n">
        <v>0.862486362509205</v>
      </c>
      <c r="C73" s="47" t="n">
        <v>0.883427123535598</v>
      </c>
      <c r="D73" s="47" t="n">
        <v>1.00484443714245</v>
      </c>
      <c r="E73" s="47" t="n">
        <v>1.10282238621312</v>
      </c>
      <c r="F73" s="47" t="n">
        <v>0.922715197861245</v>
      </c>
      <c r="G73" s="27" t="n">
        <f aca="false">'Visitor Economics'!$B$5*B73</f>
        <v>27772.0608727964</v>
      </c>
      <c r="H73" s="29" t="n">
        <f aca="false">MAX(0,'Visitor Economics'!$B$18*B73*C73*D73)</f>
        <v>554008.551058638</v>
      </c>
      <c r="I73" s="29" t="n">
        <f aca="false">H73*Controls!$B$52</f>
        <v>786692.142503266</v>
      </c>
      <c r="J73" s="29" t="n">
        <f aca="false">'City Fiscal'!$B$5+(H73*Controls!$B$56*Controls!$B$55)+('City Fiscal'!$B$9*B73*F73)</f>
        <v>132994.633492087</v>
      </c>
      <c r="K73" s="29" t="n">
        <f aca="false">J73-('City Fiscal'!$B$13*E73)</f>
        <v>11684.1710086441</v>
      </c>
      <c r="L73" s="30" t="n">
        <f aca="false">'Mobility &amp; Emissions'!$B$21*B73*F73</f>
        <v>74.2760991114801</v>
      </c>
    </row>
    <row r="74" customFormat="false" ht="15" hidden="false" customHeight="true" outlineLevel="0" collapsed="false">
      <c r="A74" s="14" t="n">
        <v>70</v>
      </c>
      <c r="B74" s="47" t="n">
        <v>0.78709929573972</v>
      </c>
      <c r="C74" s="47" t="n">
        <v>0.88081940479814</v>
      </c>
      <c r="D74" s="47" t="n">
        <v>0.950910795446046</v>
      </c>
      <c r="E74" s="47" t="n">
        <v>0.95298834535402</v>
      </c>
      <c r="F74" s="47" t="n">
        <v>0.923637626251802</v>
      </c>
      <c r="G74" s="27" t="n">
        <f aca="false">'Visitor Economics'!$B$5*B74</f>
        <v>25344.597322819</v>
      </c>
      <c r="H74" s="29" t="n">
        <f aca="false">MAX(0,'Visitor Economics'!$B$18*B74*C74*D74)</f>
        <v>477035.659752577</v>
      </c>
      <c r="I74" s="29" t="n">
        <f aca="false">H74*Controls!$B$52</f>
        <v>677390.636848659</v>
      </c>
      <c r="J74" s="29" t="n">
        <f aca="false">'City Fiscal'!$B$5+(H74*Controls!$B$56*Controls!$B$55)+('City Fiscal'!$B$9*B74*F74)</f>
        <v>125195.321668548</v>
      </c>
      <c r="K74" s="29" t="n">
        <f aca="false">J74-('City Fiscal'!$B$13*E74)</f>
        <v>20366.6036796056</v>
      </c>
      <c r="L74" s="30" t="n">
        <f aca="false">'Mobility &amp; Emissions'!$B$21*B74*F74</f>
        <v>67.851634922149</v>
      </c>
    </row>
    <row r="75" customFormat="false" ht="15" hidden="false" customHeight="true" outlineLevel="0" collapsed="false">
      <c r="A75" s="14" t="n">
        <v>71</v>
      </c>
      <c r="B75" s="47" t="n">
        <v>0.815966651220262</v>
      </c>
      <c r="C75" s="47" t="n">
        <v>0.957379037702264</v>
      </c>
      <c r="D75" s="47" t="n">
        <v>1.03689497894231</v>
      </c>
      <c r="E75" s="47" t="n">
        <v>1.02178135483708</v>
      </c>
      <c r="F75" s="47" t="n">
        <v>0.881104662029992</v>
      </c>
      <c r="G75" s="27" t="n">
        <f aca="false">'Visitor Economics'!$B$5*B75</f>
        <v>26274.1261692924</v>
      </c>
      <c r="H75" s="29" t="n">
        <f aca="false">MAX(0,'Visitor Economics'!$B$18*B75*C75*D75)</f>
        <v>586118.95220626</v>
      </c>
      <c r="I75" s="29" t="n">
        <f aca="false">H75*Controls!$B$52</f>
        <v>832288.912132889</v>
      </c>
      <c r="J75" s="29" t="n">
        <f aca="false">'City Fiscal'!$B$5+(H75*Controls!$B$56*Controls!$B$55)+('City Fiscal'!$B$9*B75*F75)</f>
        <v>125049.203409322</v>
      </c>
      <c r="K75" s="29" t="n">
        <f aca="false">J75-('City Fiscal'!$B$13*E75)</f>
        <v>12653.2543772436</v>
      </c>
      <c r="L75" s="30" t="n">
        <f aca="false">'Mobility &amp; Emissions'!$B$21*B75*F75</f>
        <v>67.1010142871428</v>
      </c>
    </row>
    <row r="76" customFormat="false" ht="15" hidden="false" customHeight="true" outlineLevel="0" collapsed="false">
      <c r="A76" s="14" t="n">
        <v>72</v>
      </c>
      <c r="B76" s="47" t="n">
        <v>0.878796761080513</v>
      </c>
      <c r="C76" s="47" t="n">
        <v>1.02353238885512</v>
      </c>
      <c r="D76" s="47" t="n">
        <v>1.01941650102403</v>
      </c>
      <c r="E76" s="47" t="n">
        <v>0.938197715713968</v>
      </c>
      <c r="F76" s="47" t="n">
        <v>0.878062430400805</v>
      </c>
      <c r="G76" s="27" t="n">
        <f aca="false">'Visitor Economics'!$B$5*B76</f>
        <v>28297.2557067925</v>
      </c>
      <c r="H76" s="29" t="n">
        <f aca="false">MAX(0,'Visitor Economics'!$B$18*B76*C76*D76)</f>
        <v>663493.032207032</v>
      </c>
      <c r="I76" s="29" t="n">
        <f aca="false">H76*Controls!$B$52</f>
        <v>942160.105733985</v>
      </c>
      <c r="J76" s="29" t="n">
        <f aca="false">'City Fiscal'!$B$5+(H76*Controls!$B$56*Controls!$B$55)+('City Fiscal'!$B$9*B76*F76)</f>
        <v>131138.441111316</v>
      </c>
      <c r="K76" s="29" t="n">
        <f aca="false">J76-('City Fiscal'!$B$13*E76)</f>
        <v>27936.6923827794</v>
      </c>
      <c r="L76" s="30" t="n">
        <f aca="false">'Mobility &amp; Emissions'!$B$21*B76*F76</f>
        <v>72.0183255111006</v>
      </c>
    </row>
    <row r="77" customFormat="false" ht="15" hidden="false" customHeight="true" outlineLevel="0" collapsed="false">
      <c r="A77" s="14" t="n">
        <v>73</v>
      </c>
      <c r="B77" s="47" t="n">
        <v>0.90876956162075</v>
      </c>
      <c r="C77" s="47" t="n">
        <v>1.08229058473007</v>
      </c>
      <c r="D77" s="47" t="n">
        <v>0.948473440043231</v>
      </c>
      <c r="E77" s="47" t="n">
        <v>1.15582595899081</v>
      </c>
      <c r="F77" s="47" t="n">
        <v>0.971583304774957</v>
      </c>
      <c r="G77" s="27" t="n">
        <f aca="false">'Visitor Economics'!$B$5*B77</f>
        <v>29262.3798841881</v>
      </c>
      <c r="H77" s="29" t="n">
        <f aca="false">MAX(0,'Visitor Economics'!$B$18*B77*C77*D77)</f>
        <v>675021.329768871</v>
      </c>
      <c r="I77" s="29" t="n">
        <f aca="false">H77*Controls!$B$52</f>
        <v>958530.288271797</v>
      </c>
      <c r="J77" s="29" t="n">
        <f aca="false">'City Fiscal'!$B$5+(H77*Controls!$B$56*Controls!$B$55)+('City Fiscal'!$B$9*B77*F77)</f>
        <v>143018.21665486</v>
      </c>
      <c r="K77" s="29" t="n">
        <f aca="false">J77-('City Fiscal'!$B$13*E77)</f>
        <v>15877.3611658712</v>
      </c>
      <c r="L77" s="30" t="n">
        <f aca="false">'Mobility &amp; Emissions'!$B$21*B77*F77</f>
        <v>82.4067890254031</v>
      </c>
    </row>
    <row r="78" customFormat="false" ht="15" hidden="false" customHeight="true" outlineLevel="0" collapsed="false">
      <c r="A78" s="14" t="n">
        <v>74</v>
      </c>
      <c r="B78" s="47" t="n">
        <v>0.871192104921424</v>
      </c>
      <c r="C78" s="47" t="n">
        <v>0.994902830165781</v>
      </c>
      <c r="D78" s="47" t="n">
        <v>1.02430939319502</v>
      </c>
      <c r="E78" s="47" t="n">
        <v>0.913727797370897</v>
      </c>
      <c r="F78" s="47" t="n">
        <v>0.954892802422283</v>
      </c>
      <c r="G78" s="27" t="n">
        <f aca="false">'Visitor Economics'!$B$5*B78</f>
        <v>28052.3857784699</v>
      </c>
      <c r="H78" s="29" t="n">
        <f aca="false">MAX(0,'Visitor Economics'!$B$18*B78*C78*D78)</f>
        <v>642422.02528985</v>
      </c>
      <c r="I78" s="29" t="n">
        <f aca="false">H78*Controls!$B$52</f>
        <v>912239.275911587</v>
      </c>
      <c r="J78" s="29" t="n">
        <f aca="false">'City Fiscal'!$B$5+(H78*Controls!$B$56*Controls!$B$55)+('City Fiscal'!$B$9*B78*F78)</f>
        <v>137392.646034029</v>
      </c>
      <c r="K78" s="29" t="n">
        <f aca="false">J78-('City Fiscal'!$B$13*E78)</f>
        <v>36882.5883232306</v>
      </c>
      <c r="L78" s="30" t="n">
        <f aca="false">'Mobility &amp; Emissions'!$B$21*B78*F78</f>
        <v>77.6421811529329</v>
      </c>
    </row>
    <row r="79" customFormat="false" ht="15" hidden="false" customHeight="true" outlineLevel="0" collapsed="false">
      <c r="A79" s="14" t="n">
        <v>75</v>
      </c>
      <c r="B79" s="47" t="n">
        <v>0.910454589800436</v>
      </c>
      <c r="C79" s="47" t="n">
        <v>1.0557971963229</v>
      </c>
      <c r="D79" s="47" t="n">
        <v>0.979392326833306</v>
      </c>
      <c r="E79" s="47" t="n">
        <v>0.941108628924615</v>
      </c>
      <c r="F79" s="47" t="n">
        <v>1.00402911249157</v>
      </c>
      <c r="G79" s="27" t="n">
        <f aca="false">'Visitor Economics'!$B$5*B79</f>
        <v>29316.637791574</v>
      </c>
      <c r="H79" s="29" t="n">
        <f aca="false">MAX(0,'Visitor Economics'!$B$18*B79*C79*D79)</f>
        <v>681224.346167402</v>
      </c>
      <c r="I79" s="29" t="n">
        <f aca="false">H79*Controls!$B$52</f>
        <v>967338.571557711</v>
      </c>
      <c r="J79" s="29" t="n">
        <f aca="false">'City Fiscal'!$B$5+(H79*Controls!$B$56*Controls!$B$55)+('City Fiscal'!$B$9*B79*F79)</f>
        <v>146365.067343036</v>
      </c>
      <c r="K79" s="29" t="n">
        <f aca="false">J79-('City Fiscal'!$B$13*E79)</f>
        <v>42843.1181613286</v>
      </c>
      <c r="L79" s="30" t="n">
        <f aca="false">'Mobility &amp; Emissions'!$B$21*B79*F79</f>
        <v>85.316645550287</v>
      </c>
    </row>
    <row r="80" customFormat="false" ht="15" hidden="false" customHeight="true" outlineLevel="0" collapsed="false">
      <c r="A80" s="14" t="n">
        <v>76</v>
      </c>
      <c r="B80" s="47" t="n">
        <v>0.970160256822492</v>
      </c>
      <c r="C80" s="47" t="n">
        <v>1.05837208424748</v>
      </c>
      <c r="D80" s="47" t="n">
        <v>0.98042679461589</v>
      </c>
      <c r="E80" s="47" t="n">
        <v>0.875988391653985</v>
      </c>
      <c r="F80" s="47" t="n">
        <v>0.91724953531438</v>
      </c>
      <c r="G80" s="27" t="n">
        <f aca="false">'Visitor Economics'!$B$5*B80</f>
        <v>31239.1602696842</v>
      </c>
      <c r="H80" s="29" t="n">
        <f aca="false">MAX(0,'Visitor Economics'!$B$18*B80*C80*D80)</f>
        <v>728436.497035764</v>
      </c>
      <c r="I80" s="29" t="n">
        <f aca="false">H80*Controls!$B$52</f>
        <v>1034379.82579078</v>
      </c>
      <c r="J80" s="29" t="n">
        <f aca="false">'City Fiscal'!$B$5+(H80*Controls!$B$56*Controls!$B$55)+('City Fiscal'!$B$9*B80*F80)</f>
        <v>144099.727638267</v>
      </c>
      <c r="K80" s="29" t="n">
        <f aca="false">J80-('City Fiscal'!$B$13*E80)</f>
        <v>47741.004556329</v>
      </c>
      <c r="L80" s="30" t="n">
        <f aca="false">'Mobility &amp; Emissions'!$B$21*B80*F80</f>
        <v>83.0539240409785</v>
      </c>
    </row>
    <row r="81" customFormat="false" ht="15" hidden="false" customHeight="true" outlineLevel="0" collapsed="false">
      <c r="A81" s="14" t="n">
        <v>77</v>
      </c>
      <c r="B81" s="47" t="n">
        <v>0.937078350233489</v>
      </c>
      <c r="C81" s="47" t="n">
        <v>1.04787510831897</v>
      </c>
      <c r="D81" s="47" t="n">
        <v>0.973870833288558</v>
      </c>
      <c r="E81" s="47" t="n">
        <v>0.914139789674717</v>
      </c>
      <c r="F81" s="47" t="n">
        <v>0.936818776770927</v>
      </c>
      <c r="G81" s="27" t="n">
        <f aca="false">'Visitor Economics'!$B$5*B81</f>
        <v>30173.9228775183</v>
      </c>
      <c r="H81" s="29" t="n">
        <f aca="false">MAX(0,'Visitor Economics'!$B$18*B81*C81*D81)</f>
        <v>691960.744285329</v>
      </c>
      <c r="I81" s="29" t="n">
        <f aca="false">H81*Controls!$B$52</f>
        <v>982584.256885167</v>
      </c>
      <c r="J81" s="29" t="n">
        <f aca="false">'City Fiscal'!$B$5+(H81*Controls!$B$56*Controls!$B$55)+('City Fiscal'!$B$9*B81*F81)</f>
        <v>142589.975581106</v>
      </c>
      <c r="K81" s="29" t="n">
        <f aca="false">J81-('City Fiscal'!$B$13*E81)</f>
        <v>42034.5987168872</v>
      </c>
      <c r="L81" s="30" t="n">
        <f aca="false">'Mobility &amp; Emissions'!$B$21*B81*F81</f>
        <v>81.9333415631606</v>
      </c>
    </row>
    <row r="82" customFormat="false" ht="15" hidden="false" customHeight="true" outlineLevel="0" collapsed="false">
      <c r="A82" s="14" t="n">
        <v>78</v>
      </c>
      <c r="B82" s="47" t="n">
        <v>0.968970596711308</v>
      </c>
      <c r="C82" s="47" t="n">
        <v>0.837233687939614</v>
      </c>
      <c r="D82" s="47" t="n">
        <v>1.07775380991151</v>
      </c>
      <c r="E82" s="47" t="n">
        <v>1.11108905730649</v>
      </c>
      <c r="F82" s="47" t="n">
        <v>1.00904788047</v>
      </c>
      <c r="G82" s="27" t="n">
        <f aca="false">'Visitor Economics'!$B$5*B82</f>
        <v>31200.8532141041</v>
      </c>
      <c r="H82" s="29" t="n">
        <f aca="false">MAX(0,'Visitor Economics'!$B$18*B82*C82*D82)</f>
        <v>632661.679332872</v>
      </c>
      <c r="I82" s="29" t="n">
        <f aca="false">H82*Controls!$B$52</f>
        <v>898379.584652678</v>
      </c>
      <c r="J82" s="29" t="n">
        <f aca="false">'City Fiscal'!$B$5+(H82*Controls!$B$56*Controls!$B$55)+('City Fiscal'!$B$9*B82*F82)</f>
        <v>152797.288819555</v>
      </c>
      <c r="K82" s="29" t="n">
        <f aca="false">J82-('City Fiscal'!$B$13*E82)</f>
        <v>30577.492515841</v>
      </c>
      <c r="L82" s="30" t="n">
        <f aca="false">'Mobility &amp; Emissions'!$B$21*B82*F82</f>
        <v>91.2539242009805</v>
      </c>
    </row>
    <row r="83" customFormat="false" ht="15" hidden="false" customHeight="true" outlineLevel="0" collapsed="false">
      <c r="A83" s="14" t="n">
        <v>79</v>
      </c>
      <c r="B83" s="47" t="n">
        <v>0.830699112418266</v>
      </c>
      <c r="C83" s="47" t="n">
        <v>0.9728234275234</v>
      </c>
      <c r="D83" s="47" t="n">
        <v>0.961758906246709</v>
      </c>
      <c r="E83" s="47" t="n">
        <v>0.930760552544667</v>
      </c>
      <c r="F83" s="47" t="n">
        <v>0.994732511896947</v>
      </c>
      <c r="G83" s="27" t="n">
        <f aca="false">'Visitor Economics'!$B$5*B83</f>
        <v>26748.5114198682</v>
      </c>
      <c r="H83" s="29" t="n">
        <f aca="false">MAX(0,'Visitor Economics'!$B$18*B83*C83*D83)</f>
        <v>562391.377409078</v>
      </c>
      <c r="I83" s="29" t="n">
        <f aca="false">H83*Controls!$B$52</f>
        <v>798595.755920891</v>
      </c>
      <c r="J83" s="29" t="n">
        <f aca="false">'City Fiscal'!$B$5+(H83*Controls!$B$56*Controls!$B$55)+('City Fiscal'!$B$9*B83*F83)</f>
        <v>136283.124587223</v>
      </c>
      <c r="K83" s="29" t="n">
        <f aca="false">J83-('City Fiscal'!$B$13*E83)</f>
        <v>33899.4638073096</v>
      </c>
      <c r="L83" s="30" t="n">
        <f aca="false">'Mobility &amp; Emissions'!$B$21*B83*F83</f>
        <v>77.1221690462187</v>
      </c>
    </row>
    <row r="84" customFormat="false" ht="15" hidden="false" customHeight="true" outlineLevel="0" collapsed="false">
      <c r="A84" s="14" t="n">
        <v>80</v>
      </c>
      <c r="B84" s="47" t="n">
        <v>0.973913125512788</v>
      </c>
      <c r="C84" s="47" t="n">
        <v>1.00219507650357</v>
      </c>
      <c r="D84" s="47" t="n">
        <v>1.06397916783328</v>
      </c>
      <c r="E84" s="47" t="n">
        <v>0.946730028012307</v>
      </c>
      <c r="F84" s="47" t="n">
        <v>1.06370110081815</v>
      </c>
      <c r="G84" s="27" t="n">
        <f aca="false">'Visitor Economics'!$B$5*B84</f>
        <v>31360.0026415118</v>
      </c>
      <c r="H84" s="29" t="n">
        <f aca="false">MAX(0,'Visitor Economics'!$B$18*B84*C84*D84)</f>
        <v>751450.327549157</v>
      </c>
      <c r="I84" s="29" t="n">
        <f aca="false">H84*Controls!$B$52</f>
        <v>1067059.4651198</v>
      </c>
      <c r="J84" s="29" t="n">
        <f aca="false">'City Fiscal'!$B$5+(H84*Controls!$B$56*Controls!$B$55)+('City Fiscal'!$B$9*B84*F84)</f>
        <v>159741.221482936</v>
      </c>
      <c r="K84" s="29" t="n">
        <f aca="false">J84-('City Fiscal'!$B$13*E84)</f>
        <v>55600.9184015827</v>
      </c>
      <c r="L84" s="30" t="n">
        <f aca="false">'Mobility &amp; Emissions'!$B$21*B84*F84</f>
        <v>96.6872045571677</v>
      </c>
    </row>
    <row r="85" customFormat="false" ht="15" hidden="false" customHeight="true" outlineLevel="0" collapsed="false">
      <c r="A85" s="14" t="n">
        <v>81</v>
      </c>
      <c r="B85" s="47" t="n">
        <v>0.949430884942491</v>
      </c>
      <c r="C85" s="47" t="n">
        <v>0.944815864376288</v>
      </c>
      <c r="D85" s="47" t="n">
        <v>1.0808513966951</v>
      </c>
      <c r="E85" s="47" t="n">
        <v>0.884349825174588</v>
      </c>
      <c r="F85" s="47" t="n">
        <v>0.921151247353789</v>
      </c>
      <c r="G85" s="27" t="n">
        <f aca="false">'Visitor Economics'!$B$5*B85</f>
        <v>30571.6744951482</v>
      </c>
      <c r="H85" s="29" t="n">
        <f aca="false">MAX(0,'Visitor Economics'!$B$18*B85*C85*D85)</f>
        <v>701570.290712352</v>
      </c>
      <c r="I85" s="29" t="n">
        <f aca="false">H85*Controls!$B$52</f>
        <v>996229.81281154</v>
      </c>
      <c r="J85" s="29" t="n">
        <f aca="false">'City Fiscal'!$B$5+(H85*Controls!$B$56*Controls!$B$55)+('City Fiscal'!$B$9*B85*F85)</f>
        <v>142301.917496392</v>
      </c>
      <c r="K85" s="29" t="n">
        <f aca="false">J85-('City Fiscal'!$B$13*E85)</f>
        <v>45023.4367271875</v>
      </c>
      <c r="L85" s="30" t="n">
        <f aca="false">'Mobility &amp; Emissions'!$B$21*B85*F85</f>
        <v>81.6250529710671</v>
      </c>
    </row>
    <row r="86" customFormat="false" ht="15" hidden="false" customHeight="true" outlineLevel="0" collapsed="false">
      <c r="A86" s="14" t="n">
        <v>82</v>
      </c>
      <c r="B86" s="47" t="n">
        <v>0.910711896933676</v>
      </c>
      <c r="C86" s="47" t="n">
        <v>0.895478473752455</v>
      </c>
      <c r="D86" s="47" t="n">
        <v>1.12105718321675</v>
      </c>
      <c r="E86" s="47" t="n">
        <v>0.956435699140657</v>
      </c>
      <c r="F86" s="47" t="n">
        <v>1.08241671804359</v>
      </c>
      <c r="G86" s="27" t="n">
        <f aca="false">'Visitor Economics'!$B$5*B86</f>
        <v>29324.9230812644</v>
      </c>
      <c r="H86" s="29" t="n">
        <f aca="false">MAX(0,'Visitor Economics'!$B$18*B86*C86*D86)</f>
        <v>661543.787965135</v>
      </c>
      <c r="I86" s="29" t="n">
        <f aca="false">H86*Controls!$B$52</f>
        <v>939392.178910492</v>
      </c>
      <c r="J86" s="29" t="n">
        <f aca="false">'City Fiscal'!$B$5+(H86*Controls!$B$56*Controls!$B$55)+('City Fiscal'!$B$9*B86*F86)</f>
        <v>153836.314672333</v>
      </c>
      <c r="K86" s="29" t="n">
        <f aca="false">J86-('City Fiscal'!$B$13*E86)</f>
        <v>48628.3877668607</v>
      </c>
      <c r="L86" s="30" t="n">
        <f aca="false">'Mobility &amp; Emissions'!$B$21*B86*F86</f>
        <v>92.0035696151607</v>
      </c>
    </row>
    <row r="87" customFormat="false" ht="15" hidden="false" customHeight="true" outlineLevel="0" collapsed="false">
      <c r="A87" s="14" t="n">
        <v>83</v>
      </c>
      <c r="B87" s="47" t="n">
        <v>0.857226938305231</v>
      </c>
      <c r="C87" s="47" t="n">
        <v>0.935607093207986</v>
      </c>
      <c r="D87" s="47" t="n">
        <v>0.9806845783811</v>
      </c>
      <c r="E87" s="47" t="n">
        <v>1.04695751676065</v>
      </c>
      <c r="F87" s="47" t="n">
        <v>1.06138566707355</v>
      </c>
      <c r="G87" s="27" t="n">
        <f aca="false">'Visitor Economics'!$B$5*B87</f>
        <v>27602.7074134284</v>
      </c>
      <c r="H87" s="29" t="n">
        <f aca="false">MAX(0,'Visitor Economics'!$B$18*B87*C87*D87)</f>
        <v>569132.427907753</v>
      </c>
      <c r="I87" s="29" t="n">
        <f aca="false">H87*Controls!$B$52</f>
        <v>808168.047629009</v>
      </c>
      <c r="J87" s="29" t="n">
        <f aca="false">'City Fiscal'!$B$5+(H87*Controls!$B$56*Controls!$B$55)+('City Fiscal'!$B$9*B87*F87)</f>
        <v>145185.360614635</v>
      </c>
      <c r="K87" s="29" t="n">
        <f aca="false">J87-('City Fiscal'!$B$13*E87)</f>
        <v>30020.0337709639</v>
      </c>
      <c r="L87" s="30" t="n">
        <f aca="false">'Mobility &amp; Emissions'!$B$21*B87*F87</f>
        <v>84.917696583978</v>
      </c>
    </row>
    <row r="88" customFormat="false" ht="15" hidden="false" customHeight="true" outlineLevel="0" collapsed="false">
      <c r="A88" s="14" t="n">
        <v>84</v>
      </c>
      <c r="B88" s="47" t="n">
        <v>0.958518295404242</v>
      </c>
      <c r="C88" s="47" t="n">
        <v>0.892560319734687</v>
      </c>
      <c r="D88" s="47" t="n">
        <v>1.02587670803774</v>
      </c>
      <c r="E88" s="47" t="n">
        <v>1.00409605533868</v>
      </c>
      <c r="F88" s="47" t="n">
        <v>0.867102631376487</v>
      </c>
      <c r="G88" s="27" t="n">
        <f aca="false">'Visitor Economics'!$B$5*B88</f>
        <v>30864.2891120166</v>
      </c>
      <c r="H88" s="29" t="n">
        <f aca="false">MAX(0,'Visitor Economics'!$B$18*B88*C88*D88)</f>
        <v>635079.101195021</v>
      </c>
      <c r="I88" s="29" t="n">
        <f aca="false">H88*Controls!$B$52</f>
        <v>901812.32369693</v>
      </c>
      <c r="J88" s="29" t="n">
        <f aca="false">'City Fiscal'!$B$5+(H88*Controls!$B$56*Controls!$B$55)+('City Fiscal'!$B$9*B88*F88)</f>
        <v>137264.317716501</v>
      </c>
      <c r="K88" s="29" t="n">
        <f aca="false">J88-('City Fiscal'!$B$13*E88)</f>
        <v>26813.7516292463</v>
      </c>
      <c r="L88" s="30" t="n">
        <f aca="false">'Mobility &amp; Emissions'!$B$21*B88*F88</f>
        <v>77.5711245238664</v>
      </c>
    </row>
    <row r="89" customFormat="false" ht="15" hidden="false" customHeight="true" outlineLevel="0" collapsed="false">
      <c r="A89" s="14" t="n">
        <v>85</v>
      </c>
      <c r="B89" s="47" t="n">
        <v>0.862078011671824</v>
      </c>
      <c r="C89" s="47" t="n">
        <v>0.916234089594073</v>
      </c>
      <c r="D89" s="47" t="n">
        <v>1.13002604449298</v>
      </c>
      <c r="E89" s="47" t="n">
        <v>0.858849710423631</v>
      </c>
      <c r="F89" s="47" t="n">
        <v>1.08275046468562</v>
      </c>
      <c r="G89" s="27" t="n">
        <f aca="false">'Visitor Economics'!$B$5*B89</f>
        <v>27758.9119758327</v>
      </c>
      <c r="H89" s="29" t="n">
        <f aca="false">MAX(0,'Visitor Economics'!$B$18*B89*C89*D89)</f>
        <v>645856.651887587</v>
      </c>
      <c r="I89" s="29" t="n">
        <f aca="false">H89*Controls!$B$52</f>
        <v>917116.445680373</v>
      </c>
      <c r="J89" s="29" t="n">
        <f aca="false">'City Fiscal'!$B$5+(H89*Controls!$B$56*Controls!$B$55)+('City Fiscal'!$B$9*B89*F89)</f>
        <v>148182.018236776</v>
      </c>
      <c r="K89" s="29" t="n">
        <f aca="false">J89-('City Fiscal'!$B$13*E89)</f>
        <v>53708.5500901763</v>
      </c>
      <c r="L89" s="30" t="n">
        <f aca="false">'Mobility &amp; Emissions'!$B$21*B89*F89</f>
        <v>87.1172430766388</v>
      </c>
    </row>
    <row r="90" customFormat="false" ht="15" hidden="false" customHeight="true" outlineLevel="0" collapsed="false">
      <c r="A90" s="14" t="n">
        <v>86</v>
      </c>
      <c r="B90" s="47" t="n">
        <v>0.944980002665956</v>
      </c>
      <c r="C90" s="47" t="n">
        <v>1.02446990003146</v>
      </c>
      <c r="D90" s="47" t="n">
        <v>0.854376743677039</v>
      </c>
      <c r="E90" s="47" t="n">
        <v>1.17206573282567</v>
      </c>
      <c r="F90" s="47" t="n">
        <v>0.995043097043603</v>
      </c>
      <c r="G90" s="27" t="n">
        <f aca="false">'Visitor Economics'!$B$5*B90</f>
        <v>30428.3560858438</v>
      </c>
      <c r="H90" s="29" t="n">
        <f aca="false">MAX(0,'Visitor Economics'!$B$18*B90*C90*D90)</f>
        <v>598502.417474139</v>
      </c>
      <c r="I90" s="29" t="n">
        <f aca="false">H90*Controls!$B$52</f>
        <v>849873.432813278</v>
      </c>
      <c r="J90" s="29" t="n">
        <f aca="false">'City Fiscal'!$B$5+(H90*Controls!$B$56*Controls!$B$55)+('City Fiscal'!$B$9*B90*F90)</f>
        <v>148604.895865839</v>
      </c>
      <c r="K90" s="29" t="n">
        <f aca="false">J90-('City Fiscal'!$B$13*E90)</f>
        <v>19677.6652550155</v>
      </c>
      <c r="L90" s="30" t="n">
        <f aca="false">'Mobility &amp; Emissions'!$B$21*B90*F90</f>
        <v>87.759408176534</v>
      </c>
    </row>
    <row r="91" customFormat="false" ht="15" hidden="false" customHeight="true" outlineLevel="0" collapsed="false">
      <c r="A91" s="14" t="n">
        <v>87</v>
      </c>
      <c r="B91" s="47" t="n">
        <v>0.973395279209076</v>
      </c>
      <c r="C91" s="47" t="n">
        <v>0.901332650270356</v>
      </c>
      <c r="D91" s="47" t="n">
        <v>1.17145860963798</v>
      </c>
      <c r="E91" s="47" t="n">
        <v>0.957846653931098</v>
      </c>
      <c r="F91" s="47" t="n">
        <v>1.068529146316</v>
      </c>
      <c r="G91" s="27" t="n">
        <f aca="false">'Visitor Economics'!$B$5*B91</f>
        <v>31343.3279905322</v>
      </c>
      <c r="H91" s="29" t="n">
        <f aca="false">MAX(0,'Visitor Economics'!$B$18*B91*C91*D91)</f>
        <v>743696.876076913</v>
      </c>
      <c r="I91" s="29" t="n">
        <f aca="false">H91*Controls!$B$52</f>
        <v>1056049.56402922</v>
      </c>
      <c r="J91" s="29" t="n">
        <f aca="false">'City Fiscal'!$B$5+(H91*Controls!$B$56*Controls!$B$55)+('City Fiscal'!$B$9*B91*F91)</f>
        <v>160130.991736506</v>
      </c>
      <c r="K91" s="29" t="n">
        <f aca="false">J91-('City Fiscal'!$B$13*E91)</f>
        <v>54767.8598040852</v>
      </c>
      <c r="L91" s="30" t="n">
        <f aca="false">'Mobility &amp; Emissions'!$B$21*B91*F91</f>
        <v>97.0744156619842</v>
      </c>
    </row>
    <row r="92" customFormat="false" ht="15" hidden="false" customHeight="true" outlineLevel="0" collapsed="false">
      <c r="A92" s="14" t="n">
        <v>88</v>
      </c>
      <c r="B92" s="47" t="n">
        <v>0.879305588966583</v>
      </c>
      <c r="C92" s="47" t="n">
        <v>0.930349444946497</v>
      </c>
      <c r="D92" s="47" t="n">
        <v>1.11790628326828</v>
      </c>
      <c r="E92" s="47" t="n">
        <v>1.17487510399342</v>
      </c>
      <c r="F92" s="47" t="n">
        <v>1.02621591378533</v>
      </c>
      <c r="G92" s="27" t="n">
        <f aca="false">'Visitor Economics'!$B$5*B92</f>
        <v>28313.639964724</v>
      </c>
      <c r="H92" s="29" t="n">
        <f aca="false">MAX(0,'Visitor Economics'!$B$18*B92*C92*D92)</f>
        <v>661737.891271018</v>
      </c>
      <c r="I92" s="29" t="n">
        <f aca="false">H92*Controls!$B$52</f>
        <v>939667.805604846</v>
      </c>
      <c r="J92" s="29" t="n">
        <f aca="false">'City Fiscal'!$B$5+(H92*Controls!$B$56*Controls!$B$55)+('City Fiscal'!$B$9*B92*F92)</f>
        <v>144990.958210666</v>
      </c>
      <c r="K92" s="29" t="n">
        <f aca="false">J92-('City Fiscal'!$B$13*E92)</f>
        <v>15754.6967713894</v>
      </c>
      <c r="L92" s="30" t="n">
        <f aca="false">'Mobility &amp; Emissions'!$B$21*B92*F92</f>
        <v>84.2185490742019</v>
      </c>
    </row>
    <row r="93" customFormat="false" ht="15" hidden="false" customHeight="true" outlineLevel="0" collapsed="false">
      <c r="A93" s="14" t="n">
        <v>89</v>
      </c>
      <c r="B93" s="47" t="n">
        <v>0.914512452955108</v>
      </c>
      <c r="C93" s="47" t="n">
        <v>0.894759614766263</v>
      </c>
      <c r="D93" s="47" t="n">
        <v>1.09235720758627</v>
      </c>
      <c r="E93" s="47" t="n">
        <v>1.02702298324715</v>
      </c>
      <c r="F93" s="47" t="n">
        <v>0.957645250708055</v>
      </c>
      <c r="G93" s="27" t="n">
        <f aca="false">'Visitor Economics'!$B$5*B93</f>
        <v>29447.3009851545</v>
      </c>
      <c r="H93" s="29" t="n">
        <f aca="false">MAX(0,'Visitor Economics'!$B$18*B93*C93*D93)</f>
        <v>646778.158767768</v>
      </c>
      <c r="I93" s="29" t="n">
        <f aca="false">H93*Controls!$B$52</f>
        <v>918424.985450231</v>
      </c>
      <c r="J93" s="29" t="n">
        <f aca="false">'City Fiscal'!$B$5+(H93*Controls!$B$56*Controls!$B$55)+('City Fiscal'!$B$9*B93*F93)</f>
        <v>142075.096228416</v>
      </c>
      <c r="K93" s="29" t="n">
        <f aca="false">J93-('City Fiscal'!$B$13*E93)</f>
        <v>29102.56807123</v>
      </c>
      <c r="L93" s="30" t="n">
        <f aca="false">'Mobility &amp; Emissions'!$B$21*B93*F93</f>
        <v>81.7378969084492</v>
      </c>
    </row>
    <row r="94" customFormat="false" ht="15" hidden="false" customHeight="true" outlineLevel="0" collapsed="false">
      <c r="A94" s="14" t="n">
        <v>90</v>
      </c>
      <c r="B94" s="47" t="n">
        <v>0.808691462144687</v>
      </c>
      <c r="C94" s="47" t="n">
        <v>0.993974136008776</v>
      </c>
      <c r="D94" s="47" t="n">
        <v>0.874024996676416</v>
      </c>
      <c r="E94" s="47" t="n">
        <v>0.988425354385852</v>
      </c>
      <c r="F94" s="47" t="n">
        <v>1.00082728131458</v>
      </c>
      <c r="G94" s="27" t="n">
        <f aca="false">'Visitor Economics'!$B$5*B94</f>
        <v>26039.8650810589</v>
      </c>
      <c r="H94" s="29" t="n">
        <f aca="false">MAX(0,'Visitor Economics'!$B$18*B94*C94*D94)</f>
        <v>508365.962583117</v>
      </c>
      <c r="I94" s="29" t="n">
        <f aca="false">H94*Controls!$B$52</f>
        <v>721879.666868026</v>
      </c>
      <c r="J94" s="29" t="n">
        <f aca="false">'City Fiscal'!$B$5+(H94*Controls!$B$56*Controls!$B$55)+('City Fiscal'!$B$9*B94*F94)</f>
        <v>134133.971978532</v>
      </c>
      <c r="K94" s="29" t="n">
        <f aca="false">J94-('City Fiscal'!$B$13*E94)</f>
        <v>25407.1829960883</v>
      </c>
      <c r="L94" s="30" t="n">
        <f aca="false">'Mobility &amp; Emissions'!$B$21*B94*F94</f>
        <v>75.5389892760742</v>
      </c>
    </row>
    <row r="95" customFormat="false" ht="15" hidden="false" customHeight="true" outlineLevel="0" collapsed="false">
      <c r="A95" s="14" t="n">
        <v>91</v>
      </c>
      <c r="B95" s="47" t="n">
        <v>0.93437290148557</v>
      </c>
      <c r="C95" s="47" t="n">
        <v>0.83558845726812</v>
      </c>
      <c r="D95" s="47" t="n">
        <v>0.872360705930607</v>
      </c>
      <c r="E95" s="47" t="n">
        <v>1.00344118348759</v>
      </c>
      <c r="F95" s="47" t="n">
        <v>1.04340497197336</v>
      </c>
      <c r="G95" s="27" t="n">
        <f aca="false">'Visitor Economics'!$B$5*B95</f>
        <v>30086.8074278354</v>
      </c>
      <c r="H95" s="29" t="n">
        <f aca="false">MAX(0,'Visitor Economics'!$B$18*B95*C95*D95)</f>
        <v>492837.143242077</v>
      </c>
      <c r="I95" s="29" t="n">
        <f aca="false">H95*Controls!$B$52</f>
        <v>699828.74340375</v>
      </c>
      <c r="J95" s="29" t="n">
        <f aca="false">'City Fiscal'!$B$5+(H95*Controls!$B$56*Controls!$B$55)+('City Fiscal'!$B$9*B95*F95)</f>
        <v>151593.370881655</v>
      </c>
      <c r="K95" s="29" t="n">
        <f aca="false">J95-('City Fiscal'!$B$13*E95)</f>
        <v>41214.8406980203</v>
      </c>
      <c r="L95" s="30" t="n">
        <f aca="false">'Mobility &amp; Emissions'!$B$21*B95*F95</f>
        <v>90.9918118502329</v>
      </c>
    </row>
    <row r="96" customFormat="false" ht="15" hidden="false" customHeight="true" outlineLevel="0" collapsed="false">
      <c r="A96" s="14" t="n">
        <v>92</v>
      </c>
      <c r="B96" s="47" t="n">
        <v>0.864099940546947</v>
      </c>
      <c r="C96" s="47" t="n">
        <v>0.973879823238786</v>
      </c>
      <c r="D96" s="47" t="n">
        <v>1.00773722943878</v>
      </c>
      <c r="E96" s="47" t="n">
        <v>1.08820924006607</v>
      </c>
      <c r="F96" s="47" t="n">
        <v>1.11679608456823</v>
      </c>
      <c r="G96" s="27" t="n">
        <f aca="false">'Visitor Economics'!$B$5*B96</f>
        <v>27824.0180856117</v>
      </c>
      <c r="H96" s="29" t="n">
        <f aca="false">MAX(0,'Visitor Economics'!$B$18*B96*C96*D96)</f>
        <v>613636.686715887</v>
      </c>
      <c r="I96" s="29" t="n">
        <f aca="false">H96*Controls!$B$52</f>
        <v>871364.09513656</v>
      </c>
      <c r="J96" s="29" t="n">
        <f aca="false">'City Fiscal'!$B$5+(H96*Controls!$B$56*Controls!$B$55)+('City Fiscal'!$B$9*B96*F96)</f>
        <v>151325.544465966</v>
      </c>
      <c r="K96" s="29" t="n">
        <f aca="false">J96-('City Fiscal'!$B$13*E96)</f>
        <v>31622.5280586981</v>
      </c>
      <c r="L96" s="30" t="n">
        <f aca="false">'Mobility &amp; Emissions'!$B$21*B96*F96</f>
        <v>90.0672772877212</v>
      </c>
    </row>
    <row r="97" customFormat="false" ht="15" hidden="false" customHeight="true" outlineLevel="0" collapsed="false">
      <c r="A97" s="14" t="n">
        <v>93</v>
      </c>
      <c r="B97" s="47" t="n">
        <v>0.899428639781252</v>
      </c>
      <c r="C97" s="47" t="n">
        <v>0.881261733569986</v>
      </c>
      <c r="D97" s="47" t="n">
        <v>0.805924891513756</v>
      </c>
      <c r="E97" s="47" t="n">
        <v>1.07697182310387</v>
      </c>
      <c r="F97" s="47" t="n">
        <v>0.964923887856268</v>
      </c>
      <c r="G97" s="27" t="n">
        <f aca="false">'Visitor Economics'!$B$5*B97</f>
        <v>28961.6022009563</v>
      </c>
      <c r="H97" s="29" t="n">
        <f aca="false">MAX(0,'Visitor Economics'!$B$18*B97*C97*D97)</f>
        <v>462232.910770349</v>
      </c>
      <c r="I97" s="29" t="n">
        <f aca="false">H97*Controls!$B$52</f>
        <v>656370.733293895</v>
      </c>
      <c r="J97" s="29" t="n">
        <f aca="false">'City Fiscal'!$B$5+(H97*Controls!$B$56*Controls!$B$55)+('City Fiscal'!$B$9*B97*F97)</f>
        <v>140041.556296746</v>
      </c>
      <c r="K97" s="29" t="n">
        <f aca="false">J97-('City Fiscal'!$B$13*E97)</f>
        <v>21574.6557553201</v>
      </c>
      <c r="L97" s="30" t="n">
        <f aca="false">'Mobility &amp; Emissions'!$B$21*B97*F97</f>
        <v>81.0007325907595</v>
      </c>
    </row>
    <row r="98" customFormat="false" ht="15" hidden="false" customHeight="true" outlineLevel="0" collapsed="false">
      <c r="A98" s="14" t="n">
        <v>94</v>
      </c>
      <c r="B98" s="47" t="n">
        <v>0.913257645184057</v>
      </c>
      <c r="C98" s="47" t="n">
        <v>0.99598011251275</v>
      </c>
      <c r="D98" s="47" t="n">
        <v>0.904746543038274</v>
      </c>
      <c r="E98" s="47" t="n">
        <v>0.912480808819993</v>
      </c>
      <c r="F98" s="47" t="n">
        <v>1.02897314347633</v>
      </c>
      <c r="G98" s="27" t="n">
        <f aca="false">'Visitor Economics'!$B$5*B98</f>
        <v>29406.8961749266</v>
      </c>
      <c r="H98" s="29" t="n">
        <f aca="false">MAX(0,'Visitor Economics'!$B$18*B98*C98*D98)</f>
        <v>595477.81357411</v>
      </c>
      <c r="I98" s="29" t="n">
        <f aca="false">H98*Controls!$B$52</f>
        <v>845578.495275236</v>
      </c>
      <c r="J98" s="29" t="n">
        <f aca="false">'City Fiscal'!$B$5+(H98*Controls!$B$56*Controls!$B$55)+('City Fiscal'!$B$9*B98*F98)</f>
        <v>148523.969177067</v>
      </c>
      <c r="K98" s="29" t="n">
        <f aca="false">J98-('City Fiscal'!$B$13*E98)</f>
        <v>48151.0802068677</v>
      </c>
      <c r="L98" s="30" t="n">
        <f aca="false">'Mobility &amp; Emissions'!$B$21*B98*F98</f>
        <v>87.7054401916939</v>
      </c>
    </row>
    <row r="99" customFormat="false" ht="15" hidden="false" customHeight="true" outlineLevel="0" collapsed="false">
      <c r="A99" s="14" t="n">
        <v>95</v>
      </c>
      <c r="B99" s="47" t="n">
        <v>0.814047026301867</v>
      </c>
      <c r="C99" s="47" t="n">
        <v>0.845980762113533</v>
      </c>
      <c r="D99" s="47" t="n">
        <v>0.986774998488695</v>
      </c>
      <c r="E99" s="47" t="n">
        <v>0.905523680931073</v>
      </c>
      <c r="F99" s="47" t="n">
        <v>0.934454129561556</v>
      </c>
      <c r="G99" s="27" t="n">
        <f aca="false">'Visitor Economics'!$B$5*B99</f>
        <v>26212.3142469201</v>
      </c>
      <c r="H99" s="29" t="n">
        <f aca="false">MAX(0,'Visitor Economics'!$B$18*B99*C99*D99)</f>
        <v>491725.565325648</v>
      </c>
      <c r="I99" s="29" t="n">
        <f aca="false">H99*Controls!$B$52</f>
        <v>698250.30276242</v>
      </c>
      <c r="J99" s="29" t="n">
        <f aca="false">'City Fiscal'!$B$5+(H99*Controls!$B$56*Controls!$B$55)+('City Fiscal'!$B$9*B99*F99)</f>
        <v>128864.170348446</v>
      </c>
      <c r="K99" s="29" t="n">
        <f aca="false">J99-('City Fiscal'!$B$13*E99)</f>
        <v>29256.5654460275</v>
      </c>
      <c r="L99" s="30" t="n">
        <f aca="false">'Mobility &amp; Emissions'!$B$21*B99*F99</f>
        <v>70.9964540429191</v>
      </c>
    </row>
    <row r="100" customFormat="false" ht="15" hidden="false" customHeight="true" outlineLevel="0" collapsed="false">
      <c r="A100" s="14" t="n">
        <v>96</v>
      </c>
      <c r="B100" s="47" t="n">
        <v>0.978575369645584</v>
      </c>
      <c r="C100" s="47" t="n">
        <v>0.932289803633277</v>
      </c>
      <c r="D100" s="47" t="n">
        <v>1.07605676213201</v>
      </c>
      <c r="E100" s="47" t="n">
        <v>0.926485210240671</v>
      </c>
      <c r="F100" s="47" t="n">
        <v>1.08109789553287</v>
      </c>
      <c r="G100" s="27" t="n">
        <f aca="false">'Visitor Economics'!$B$5*B100</f>
        <v>31510.1269025878</v>
      </c>
      <c r="H100" s="29" t="n">
        <f aca="false">MAX(0,'Visitor Economics'!$B$18*B100*C100*D100)</f>
        <v>710354.384747866</v>
      </c>
      <c r="I100" s="29" t="n">
        <f aca="false">H100*Controls!$B$52</f>
        <v>1008703.22634197</v>
      </c>
      <c r="J100" s="29" t="n">
        <f aca="false">'City Fiscal'!$B$5+(H100*Controls!$B$56*Controls!$B$55)+('City Fiscal'!$B$9*B100*F100)</f>
        <v>161806.442050694</v>
      </c>
      <c r="K100" s="29" t="n">
        <f aca="false">J100-('City Fiscal'!$B$13*E100)</f>
        <v>59893.0689242201</v>
      </c>
      <c r="L100" s="30" t="n">
        <f aca="false">'Mobility &amp; Emissions'!$B$21*B100*F100</f>
        <v>98.7389441610244</v>
      </c>
    </row>
    <row r="101" customFormat="false" ht="15" hidden="false" customHeight="true" outlineLevel="0" collapsed="false">
      <c r="A101" s="14" t="n">
        <v>97</v>
      </c>
      <c r="B101" s="47" t="n">
        <v>0.895713439150343</v>
      </c>
      <c r="C101" s="47" t="n">
        <v>1.02675837839248</v>
      </c>
      <c r="D101" s="47" t="n">
        <v>1.02327053565979</v>
      </c>
      <c r="E101" s="47" t="n">
        <v>1.1635636072016</v>
      </c>
      <c r="F101" s="47" t="n">
        <v>1.0077765842064</v>
      </c>
      <c r="G101" s="27" t="n">
        <f aca="false">'Visitor Economics'!$B$5*B101</f>
        <v>28841.972740641</v>
      </c>
      <c r="H101" s="29" t="n">
        <f aca="false">MAX(0,'Visitor Economics'!$B$18*B101*C101*D101)</f>
        <v>680961.383713421</v>
      </c>
      <c r="I101" s="29" t="n">
        <f aca="false">H101*Controls!$B$52</f>
        <v>966965.164873058</v>
      </c>
      <c r="J101" s="29" t="n">
        <f aca="false">'City Fiscal'!$B$5+(H101*Controls!$B$56*Controls!$B$55)+('City Fiscal'!$B$9*B101*F101)</f>
        <v>145149.639353762</v>
      </c>
      <c r="K101" s="29" t="n">
        <f aca="false">J101-('City Fiscal'!$B$13*E101)</f>
        <v>17157.6425615856</v>
      </c>
      <c r="L101" s="30" t="n">
        <f aca="false">'Mobility &amp; Emissions'!$B$21*B101*F101</f>
        <v>84.2485684368228</v>
      </c>
    </row>
    <row r="102" customFormat="false" ht="15" hidden="false" customHeight="true" outlineLevel="0" collapsed="false">
      <c r="A102" s="14" t="n">
        <v>98</v>
      </c>
      <c r="B102" s="47" t="n">
        <v>0.922943315531593</v>
      </c>
      <c r="C102" s="47" t="n">
        <v>0.983079735099123</v>
      </c>
      <c r="D102" s="47" t="n">
        <v>1.07504643473196</v>
      </c>
      <c r="E102" s="47" t="n">
        <v>1.00431473385651</v>
      </c>
      <c r="F102" s="47" t="n">
        <v>1.02731136971993</v>
      </c>
      <c r="G102" s="27" t="n">
        <f aca="false">'Visitor Economics'!$B$5*B102</f>
        <v>29718.7747601173</v>
      </c>
      <c r="H102" s="29" t="n">
        <f aca="false">MAX(0,'Visitor Economics'!$B$18*B102*C102*D102)</f>
        <v>705806.519081518</v>
      </c>
      <c r="I102" s="29" t="n">
        <f aca="false">H102*Controls!$B$52</f>
        <v>1002245.25709576</v>
      </c>
      <c r="J102" s="29" t="n">
        <f aca="false">'City Fiscal'!$B$5+(H102*Controls!$B$56*Controls!$B$55)+('City Fiscal'!$B$9*B102*F102)</f>
        <v>150133.247200822</v>
      </c>
      <c r="K102" s="29" t="n">
        <f aca="false">J102-('City Fiscal'!$B$13*E102)</f>
        <v>39658.6264766064</v>
      </c>
      <c r="L102" s="30" t="n">
        <f aca="false">'Mobility &amp; Emissions'!$B$21*B102*F102</f>
        <v>88.4924664423133</v>
      </c>
    </row>
    <row r="103" customFormat="false" ht="15" hidden="false" customHeight="true" outlineLevel="0" collapsed="false">
      <c r="A103" s="14" t="n">
        <v>99</v>
      </c>
      <c r="B103" s="47" t="n">
        <v>0.88014789064179</v>
      </c>
      <c r="C103" s="47" t="n">
        <v>1.04990007132671</v>
      </c>
      <c r="D103" s="47" t="n">
        <v>0.828233805572441</v>
      </c>
      <c r="E103" s="47" t="n">
        <v>0.99407498384317</v>
      </c>
      <c r="F103" s="47" t="n">
        <v>0.965704364654061</v>
      </c>
      <c r="G103" s="27" t="n">
        <f aca="false">'Visitor Economics'!$B$5*B103</f>
        <v>28340.7620786656</v>
      </c>
      <c r="H103" s="29" t="n">
        <f aca="false">MAX(0,'Visitor Economics'!$B$18*B103*C103*D103)</f>
        <v>553797.817876191</v>
      </c>
      <c r="I103" s="29" t="n">
        <f aca="false">H103*Controls!$B$52</f>
        <v>786392.901384192</v>
      </c>
      <c r="J103" s="29" t="n">
        <f aca="false">'City Fiscal'!$B$5+(H103*Controls!$B$56*Controls!$B$55)+('City Fiscal'!$B$9*B103*F103)</f>
        <v>138734.587076673</v>
      </c>
      <c r="K103" s="29" t="n">
        <f aca="false">J103-('City Fiscal'!$B$13*E103)</f>
        <v>29386.3388539239</v>
      </c>
      <c r="L103" s="30" t="n">
        <f aca="false">'Mobility &amp; Emissions'!$B$21*B103*F103</f>
        <v>79.3284599508147</v>
      </c>
    </row>
    <row r="104" customFormat="false" ht="15" hidden="false" customHeight="true" outlineLevel="0" collapsed="false">
      <c r="A104" s="14" t="n">
        <v>100</v>
      </c>
      <c r="B104" s="47" t="n">
        <v>0.959700746273275</v>
      </c>
      <c r="C104" s="47" t="n">
        <v>1.04639293512169</v>
      </c>
      <c r="D104" s="47" t="n">
        <v>1.01587663508313</v>
      </c>
      <c r="E104" s="47" t="n">
        <v>0.918558104689569</v>
      </c>
      <c r="F104" s="47" t="n">
        <v>1.02804714025493</v>
      </c>
      <c r="G104" s="27" t="n">
        <f aca="false">'Visitor Economics'!$B$5*B104</f>
        <v>30902.3640299995</v>
      </c>
      <c r="H104" s="29" t="n">
        <f aca="false">MAX(0,'Visitor Economics'!$B$18*B104*C104*D104)</f>
        <v>738186.795943003</v>
      </c>
      <c r="I104" s="29" t="n">
        <f aca="false">H104*Controls!$B$52</f>
        <v>1048225.25023906</v>
      </c>
      <c r="J104" s="29" t="n">
        <f aca="false">'City Fiscal'!$B$5+(H104*Controls!$B$56*Controls!$B$55)+('City Fiscal'!$B$9*B104*F104)</f>
        <v>154422.88063908</v>
      </c>
      <c r="K104" s="29" t="n">
        <f aca="false">J104-('City Fiscal'!$B$13*E104)</f>
        <v>53381.4891232277</v>
      </c>
      <c r="L104" s="30" t="n">
        <f aca="false">'Mobility &amp; Emissions'!$B$21*B104*F104</f>
        <v>92.0826985772053</v>
      </c>
    </row>
    <row r="105" customFormat="false" ht="15" hidden="false" customHeight="true" outlineLevel="0" collapsed="false">
      <c r="A105" s="14" t="n">
        <v>101</v>
      </c>
      <c r="B105" s="47" t="n">
        <v>0.930803587516089</v>
      </c>
      <c r="C105" s="47" t="n">
        <v>1.0710714807091</v>
      </c>
      <c r="D105" s="47" t="n">
        <v>1.00293472522428</v>
      </c>
      <c r="E105" s="47" t="n">
        <v>0.948549212366315</v>
      </c>
      <c r="F105" s="47" t="n">
        <v>1.03546834498707</v>
      </c>
      <c r="G105" s="27" t="n">
        <f aca="false">'Visitor Economics'!$B$5*B105</f>
        <v>29971.8755180181</v>
      </c>
      <c r="H105" s="29" t="n">
        <f aca="false">MAX(0,'Visitor Economics'!$B$18*B105*C105*D105)</f>
        <v>723508.840372878</v>
      </c>
      <c r="I105" s="29" t="n">
        <f aca="false">H105*Controls!$B$52</f>
        <v>1027382.55332949</v>
      </c>
      <c r="J105" s="29" t="n">
        <f aca="false">'City Fiscal'!$B$5+(H105*Controls!$B$56*Controls!$B$55)+('City Fiscal'!$B$9*B105*F105)</f>
        <v>151909.632501541</v>
      </c>
      <c r="K105" s="29" t="n">
        <f aca="false">J105-('City Fiscal'!$B$13*E105)</f>
        <v>47569.2191412463</v>
      </c>
      <c r="L105" s="30" t="n">
        <f aca="false">'Mobility &amp; Emissions'!$B$21*B105*F105</f>
        <v>89.9547397900137</v>
      </c>
    </row>
    <row r="106" customFormat="false" ht="15" hidden="false" customHeight="true" outlineLevel="0" collapsed="false">
      <c r="A106" s="14" t="n">
        <v>102</v>
      </c>
      <c r="B106" s="47" t="n">
        <v>0.877426895670549</v>
      </c>
      <c r="C106" s="47" t="n">
        <v>1.02695162548438</v>
      </c>
      <c r="D106" s="47" t="n">
        <v>1.02535305477261</v>
      </c>
      <c r="E106" s="47" t="n">
        <v>1.01322742979813</v>
      </c>
      <c r="F106" s="47" t="n">
        <v>0.98558207846172</v>
      </c>
      <c r="G106" s="27" t="n">
        <f aca="false">'Visitor Economics'!$B$5*B106</f>
        <v>28253.1460405917</v>
      </c>
      <c r="H106" s="29" t="n">
        <f aca="false">MAX(0,'Visitor Economics'!$B$18*B106*C106*D106)</f>
        <v>668542.511444965</v>
      </c>
      <c r="I106" s="29" t="n">
        <f aca="false">H106*Controls!$B$52</f>
        <v>949330.36625185</v>
      </c>
      <c r="J106" s="29" t="n">
        <f aca="false">'City Fiscal'!$B$5+(H106*Controls!$B$56*Controls!$B$55)+('City Fiscal'!$B$9*B106*F106)</f>
        <v>141049.240771815</v>
      </c>
      <c r="K106" s="29" t="n">
        <f aca="false">J106-('City Fiscal'!$B$13*E106)</f>
        <v>29594.2234940203</v>
      </c>
      <c r="L106" s="30" t="n">
        <f aca="false">'Mobility &amp; Emissions'!$B$21*B106*F106</f>
        <v>80.7110350619331</v>
      </c>
    </row>
    <row r="107" customFormat="false" ht="15" hidden="false" customHeight="true" outlineLevel="0" collapsed="false">
      <c r="A107" s="14" t="n">
        <v>103</v>
      </c>
      <c r="B107" s="47" t="n">
        <v>0.981894882233485</v>
      </c>
      <c r="C107" s="47" t="n">
        <v>0.979056593701739</v>
      </c>
      <c r="D107" s="47" t="n">
        <v>1.01214237451786</v>
      </c>
      <c r="E107" s="47" t="n">
        <v>1.00019257416962</v>
      </c>
      <c r="F107" s="47" t="n">
        <v>0.955534354596027</v>
      </c>
      <c r="G107" s="27" t="n">
        <f aca="false">'Visitor Economics'!$B$5*B107</f>
        <v>31617.0152079182</v>
      </c>
      <c r="H107" s="29" t="n">
        <f aca="false">MAX(0,'Visitor Economics'!$B$18*B107*C107*D107)</f>
        <v>704059.025374996</v>
      </c>
      <c r="I107" s="29" t="n">
        <f aca="false">H107*Controls!$B$52</f>
        <v>999763.816032495</v>
      </c>
      <c r="J107" s="29" t="n">
        <f aca="false">'City Fiscal'!$B$5+(H107*Controls!$B$56*Controls!$B$55)+('City Fiscal'!$B$9*B107*F107)</f>
        <v>149070.258762187</v>
      </c>
      <c r="K107" s="29" t="n">
        <f aca="false">J107-('City Fiscal'!$B$13*E107)</f>
        <v>39049.0756035288</v>
      </c>
      <c r="L107" s="30" t="n">
        <f aca="false">'Mobility &amp; Emissions'!$B$21*B107*F107</f>
        <v>87.5670015244262</v>
      </c>
    </row>
    <row r="108" customFormat="false" ht="15" hidden="false" customHeight="true" outlineLevel="0" collapsed="false">
      <c r="A108" s="14" t="n">
        <v>104</v>
      </c>
      <c r="B108" s="47" t="n">
        <v>0.983503424818211</v>
      </c>
      <c r="C108" s="47" t="n">
        <v>0.936769002736171</v>
      </c>
      <c r="D108" s="47" t="n">
        <v>1.09536737084302</v>
      </c>
      <c r="E108" s="47" t="n">
        <v>0.932149453855113</v>
      </c>
      <c r="F108" s="47" t="n">
        <v>1.01508335906939</v>
      </c>
      <c r="G108" s="27" t="n">
        <f aca="false">'Visitor Economics'!$B$5*B108</f>
        <v>31668.8102791464</v>
      </c>
      <c r="H108" s="29" t="n">
        <f aca="false">MAX(0,'Visitor Economics'!$B$18*B108*C108*D108)</f>
        <v>730235.358105583</v>
      </c>
      <c r="I108" s="29" t="n">
        <f aca="false">H108*Controls!$B$52</f>
        <v>1036934.20850993</v>
      </c>
      <c r="J108" s="29" t="n">
        <f aca="false">'City Fiscal'!$B$5+(H108*Controls!$B$56*Controls!$B$55)+('City Fiscal'!$B$9*B108*F108)</f>
        <v>155614.401248477</v>
      </c>
      <c r="K108" s="29" t="n">
        <f aca="false">J108-('City Fiscal'!$B$13*E108)</f>
        <v>53077.961324415</v>
      </c>
      <c r="L108" s="30" t="n">
        <f aca="false">'Mobility &amp; Emissions'!$B$21*B108*F108</f>
        <v>93.1765789925989</v>
      </c>
    </row>
    <row r="109" customFormat="false" ht="15" hidden="false" customHeight="true" outlineLevel="0" collapsed="false">
      <c r="A109" s="14" t="n">
        <v>105</v>
      </c>
      <c r="B109" s="47" t="n">
        <v>0.922819755093949</v>
      </c>
      <c r="C109" s="47" t="n">
        <v>0.858535697735995</v>
      </c>
      <c r="D109" s="47" t="n">
        <v>1.06748630188394</v>
      </c>
      <c r="E109" s="47" t="n">
        <v>1.07267614373695</v>
      </c>
      <c r="F109" s="47" t="n">
        <v>1.04319410128649</v>
      </c>
      <c r="G109" s="27" t="n">
        <f aca="false">'Visitor Economics'!$B$5*B109</f>
        <v>29714.7961140252</v>
      </c>
      <c r="H109" s="29" t="n">
        <f aca="false">MAX(0,'Visitor Economics'!$B$18*B109*C109*D109)</f>
        <v>611972.94290363</v>
      </c>
      <c r="I109" s="29" t="n">
        <f aca="false">H109*Controls!$B$52</f>
        <v>869001.578923155</v>
      </c>
      <c r="J109" s="29" t="n">
        <f aca="false">'City Fiscal'!$B$5+(H109*Controls!$B$56*Controls!$B$55)+('City Fiscal'!$B$9*B109*F109)</f>
        <v>151066.235384216</v>
      </c>
      <c r="K109" s="29" t="n">
        <f aca="false">J109-('City Fiscal'!$B$13*E109)</f>
        <v>33071.8595731516</v>
      </c>
      <c r="L109" s="30" t="n">
        <f aca="false">'Mobility &amp; Emissions'!$B$21*B109*F109</f>
        <v>89.8485726284965</v>
      </c>
    </row>
    <row r="110" customFormat="false" ht="15" hidden="false" customHeight="true" outlineLevel="0" collapsed="false">
      <c r="A110" s="14" t="n">
        <v>106</v>
      </c>
      <c r="B110" s="47" t="n">
        <v>0.98882308546376</v>
      </c>
      <c r="C110" s="47" t="n">
        <v>0.919543960138222</v>
      </c>
      <c r="D110" s="47" t="n">
        <v>0.906801813867153</v>
      </c>
      <c r="E110" s="47" t="n">
        <v>0.989341961722427</v>
      </c>
      <c r="F110" s="47" t="n">
        <v>1.09488648078738</v>
      </c>
      <c r="G110" s="27" t="n">
        <f aca="false">'Visitor Economics'!$B$5*B110</f>
        <v>31840.1033519331</v>
      </c>
      <c r="H110" s="29" t="n">
        <f aca="false">MAX(0,'Visitor Economics'!$B$18*B110*C110*D110)</f>
        <v>596620.46048658</v>
      </c>
      <c r="I110" s="29" t="n">
        <f aca="false">H110*Controls!$B$52</f>
        <v>847201.053890944</v>
      </c>
      <c r="J110" s="29" t="n">
        <f aca="false">'City Fiscal'!$B$5+(H110*Controls!$B$56*Controls!$B$55)+('City Fiscal'!$B$9*B110*F110)</f>
        <v>163690.50319982</v>
      </c>
      <c r="K110" s="29" t="n">
        <f aca="false">J110-('City Fiscal'!$B$13*E110)</f>
        <v>54862.8874103527</v>
      </c>
      <c r="L110" s="30" t="n">
        <f aca="false">'Mobility &amp; Emissions'!$B$21*B110*F110</f>
        <v>101.045474301963</v>
      </c>
    </row>
    <row r="111" customFormat="false" ht="15" hidden="false" customHeight="true" outlineLevel="0" collapsed="false">
      <c r="A111" s="14" t="n">
        <v>107</v>
      </c>
      <c r="B111" s="47" t="n">
        <v>0.980351544796802</v>
      </c>
      <c r="C111" s="47" t="n">
        <v>0.931081051489442</v>
      </c>
      <c r="D111" s="47" t="n">
        <v>0.927181180862228</v>
      </c>
      <c r="E111" s="47" t="n">
        <v>0.986577009217959</v>
      </c>
      <c r="F111" s="47" t="n">
        <v>0.998264965517819</v>
      </c>
      <c r="G111" s="27" t="n">
        <f aca="false">'Visitor Economics'!$B$5*B111</f>
        <v>31567.319742457</v>
      </c>
      <c r="H111" s="29" t="n">
        <f aca="false">MAX(0,'Visitor Economics'!$B$18*B111*C111*D111)</f>
        <v>612390.723756283</v>
      </c>
      <c r="I111" s="29" t="n">
        <f aca="false">H111*Controls!$B$52</f>
        <v>869594.827733921</v>
      </c>
      <c r="J111" s="29" t="n">
        <f aca="false">'City Fiscal'!$B$5+(H111*Controls!$B$56*Controls!$B$55)+('City Fiscal'!$B$9*B111*F111)</f>
        <v>152762.751325317</v>
      </c>
      <c r="K111" s="29" t="n">
        <f aca="false">J111-('City Fiscal'!$B$13*E111)</f>
        <v>44239.2803113412</v>
      </c>
      <c r="L111" s="30" t="n">
        <f aca="false">'Mobility &amp; Emissions'!$B$21*B111*F111</f>
        <v>91.3391243031308</v>
      </c>
    </row>
    <row r="112" customFormat="false" ht="15" hidden="false" customHeight="true" outlineLevel="0" collapsed="false">
      <c r="A112" s="14" t="n">
        <v>108</v>
      </c>
      <c r="B112" s="47" t="n">
        <v>0.939725471038442</v>
      </c>
      <c r="C112" s="47" t="n">
        <v>1.04142519487775</v>
      </c>
      <c r="D112" s="47" t="n">
        <v>1.07437611210317</v>
      </c>
      <c r="E112" s="47" t="n">
        <v>1.0100703228027</v>
      </c>
      <c r="F112" s="47" t="n">
        <v>0.974689614643722</v>
      </c>
      <c r="G112" s="27" t="n">
        <f aca="false">'Visitor Economics'!$B$5*B112</f>
        <v>30259.1601674378</v>
      </c>
      <c r="H112" s="29" t="n">
        <f aca="false">MAX(0,'Visitor Economics'!$B$18*B112*C112*D112)</f>
        <v>760816.796327871</v>
      </c>
      <c r="I112" s="29" t="n">
        <f aca="false">H112*Controls!$B$52</f>
        <v>1080359.85078558</v>
      </c>
      <c r="J112" s="29" t="n">
        <f aca="false">'City Fiscal'!$B$5+(H112*Controls!$B$56*Controls!$B$55)+('City Fiscal'!$B$9*B112*F112)</f>
        <v>147073.614020976</v>
      </c>
      <c r="K112" s="29" t="n">
        <f aca="false">J112-('City Fiscal'!$B$13*E112)</f>
        <v>35965.8785126793</v>
      </c>
      <c r="L112" s="30" t="n">
        <f aca="false">'Mobility &amp; Emissions'!$B$21*B112*F112</f>
        <v>85.4862986390791</v>
      </c>
    </row>
    <row r="113" customFormat="false" ht="15" hidden="false" customHeight="true" outlineLevel="0" collapsed="false">
      <c r="A113" s="14" t="n">
        <v>109</v>
      </c>
      <c r="B113" s="47" t="n">
        <v>0.878285299002445</v>
      </c>
      <c r="C113" s="47" t="n">
        <v>1.06355533683332</v>
      </c>
      <c r="D113" s="47" t="n">
        <v>1.11482881224166</v>
      </c>
      <c r="E113" s="47" t="n">
        <v>0.844093567606314</v>
      </c>
      <c r="F113" s="47" t="n">
        <v>0.953162493184296</v>
      </c>
      <c r="G113" s="27" t="n">
        <f aca="false">'Visitor Economics'!$B$5*B113</f>
        <v>28280.7866278787</v>
      </c>
      <c r="H113" s="29" t="n">
        <f aca="false">MAX(0,'Visitor Economics'!$B$18*B113*C113*D113)</f>
        <v>753526.549226927</v>
      </c>
      <c r="I113" s="29" t="n">
        <f aca="false">H113*Controls!$B$52</f>
        <v>1070007.69990224</v>
      </c>
      <c r="J113" s="29" t="n">
        <f aca="false">'City Fiscal'!$B$5+(H113*Controls!$B$56*Controls!$B$55)+('City Fiscal'!$B$9*B113*F113)</f>
        <v>138669.786683928</v>
      </c>
      <c r="K113" s="29" t="n">
        <f aca="false">J113-('City Fiscal'!$B$13*E113)</f>
        <v>45819.494247233</v>
      </c>
      <c r="L113" s="30" t="n">
        <f aca="false">'Mobility &amp; Emissions'!$B$21*B113*F113</f>
        <v>78.1325024875446</v>
      </c>
    </row>
    <row r="114" customFormat="false" ht="15" hidden="false" customHeight="true" outlineLevel="0" collapsed="false">
      <c r="A114" s="14" t="n">
        <v>110</v>
      </c>
      <c r="B114" s="47" t="n">
        <v>0.913131513925141</v>
      </c>
      <c r="C114" s="47" t="n">
        <v>0.956985400681971</v>
      </c>
      <c r="D114" s="47" t="n">
        <v>1.12664583509261</v>
      </c>
      <c r="E114" s="47" t="n">
        <v>1.06438278635859</v>
      </c>
      <c r="F114" s="47" t="n">
        <v>1.01794887353756</v>
      </c>
      <c r="G114" s="27" t="n">
        <f aca="false">'Visitor Economics'!$B$5*B114</f>
        <v>29402.8347483895</v>
      </c>
      <c r="H114" s="29" t="n">
        <f aca="false">MAX(0,'Visitor Economics'!$B$18*B114*C114*D114)</f>
        <v>712394.780645367</v>
      </c>
      <c r="I114" s="29" t="n">
        <f aca="false">H114*Controls!$B$52</f>
        <v>1011600.58851642</v>
      </c>
      <c r="J114" s="29" t="n">
        <f aca="false">'City Fiscal'!$B$5+(H114*Controls!$B$56*Controls!$B$55)+('City Fiscal'!$B$9*B114*F114)</f>
        <v>148200.174323971</v>
      </c>
      <c r="K114" s="29" t="n">
        <f aca="false">J114-('City Fiscal'!$B$13*E114)</f>
        <v>31118.0678245265</v>
      </c>
      <c r="L114" s="30" t="n">
        <f aca="false">'Mobility &amp; Emissions'!$B$21*B114*F114</f>
        <v>86.7537934079427</v>
      </c>
    </row>
    <row r="115" customFormat="false" ht="15" hidden="false" customHeight="true" outlineLevel="0" collapsed="false">
      <c r="A115" s="14" t="n">
        <v>111</v>
      </c>
      <c r="B115" s="47" t="n">
        <v>0.952029418128134</v>
      </c>
      <c r="C115" s="47" t="n">
        <v>0.955996323479718</v>
      </c>
      <c r="D115" s="47" t="n">
        <v>0.936378067515876</v>
      </c>
      <c r="E115" s="47" t="n">
        <v>0.891201825819286</v>
      </c>
      <c r="F115" s="47" t="n">
        <v>0.925448658039756</v>
      </c>
      <c r="G115" s="27" t="n">
        <f aca="false">'Visitor Economics'!$B$5*B115</f>
        <v>30655.3472637259</v>
      </c>
      <c r="H115" s="29" t="n">
        <f aca="false">MAX(0,'Visitor Economics'!$B$18*B115*C115*D115)</f>
        <v>616669.53387718</v>
      </c>
      <c r="I115" s="29" t="n">
        <f aca="false">H115*Controls!$B$52</f>
        <v>875670.738105596</v>
      </c>
      <c r="J115" s="29" t="n">
        <f aca="false">'City Fiscal'!$B$5+(H115*Controls!$B$56*Controls!$B$55)+('City Fiscal'!$B$9*B115*F115)</f>
        <v>142439.541349067</v>
      </c>
      <c r="K115" s="29" t="n">
        <f aca="false">J115-('City Fiscal'!$B$13*E115)</f>
        <v>44407.3405089451</v>
      </c>
      <c r="L115" s="30" t="n">
        <f aca="false">'Mobility &amp; Emissions'!$B$21*B115*F115</f>
        <v>82.2303000371974</v>
      </c>
    </row>
    <row r="116" customFormat="false" ht="15" hidden="false" customHeight="true" outlineLevel="0" collapsed="false">
      <c r="A116" s="14" t="n">
        <v>112</v>
      </c>
      <c r="B116" s="47" t="n">
        <v>0.867813438607083</v>
      </c>
      <c r="C116" s="47" t="n">
        <v>1.00265435670635</v>
      </c>
      <c r="D116" s="47" t="n">
        <v>1.14241863544275</v>
      </c>
      <c r="E116" s="47" t="n">
        <v>1.07358784055514</v>
      </c>
      <c r="F116" s="47" t="n">
        <v>1.11418799084106</v>
      </c>
      <c r="G116" s="27" t="n">
        <f aca="false">'Visitor Economics'!$B$5*B116</f>
        <v>27943.5927231481</v>
      </c>
      <c r="H116" s="29" t="n">
        <f aca="false">MAX(0,'Visitor Economics'!$B$18*B116*C116*D116)</f>
        <v>719279.304593129</v>
      </c>
      <c r="I116" s="29" t="n">
        <f aca="false">H116*Controls!$B$52</f>
        <v>1021376.61252224</v>
      </c>
      <c r="J116" s="29" t="n">
        <f aca="false">'City Fiscal'!$B$5+(H116*Controls!$B$56*Controls!$B$55)+('City Fiscal'!$B$9*B116*F116)</f>
        <v>152209.910726488</v>
      </c>
      <c r="K116" s="29" t="n">
        <f aca="false">J116-('City Fiscal'!$B$13*E116)</f>
        <v>34115.2482654225</v>
      </c>
      <c r="L116" s="30" t="n">
        <f aca="false">'Mobility &amp; Emissions'!$B$21*B116*F116</f>
        <v>90.2431031327975</v>
      </c>
    </row>
    <row r="117" customFormat="false" ht="15" hidden="false" customHeight="true" outlineLevel="0" collapsed="false">
      <c r="A117" s="14" t="n">
        <v>113</v>
      </c>
      <c r="B117" s="47" t="n">
        <v>0.90110491319513</v>
      </c>
      <c r="C117" s="47" t="n">
        <v>1.03398837287901</v>
      </c>
      <c r="D117" s="47" t="n">
        <v>1.01688254033642</v>
      </c>
      <c r="E117" s="47" t="n">
        <v>1.0326379747978</v>
      </c>
      <c r="F117" s="47" t="n">
        <v>1.00326043478325</v>
      </c>
      <c r="G117" s="27" t="n">
        <f aca="false">'Visitor Economics'!$B$5*B117</f>
        <v>29015.5782048832</v>
      </c>
      <c r="H117" s="29" t="n">
        <f aca="false">MAX(0,'Visitor Economics'!$B$18*B117*C117*D117)</f>
        <v>685577.369015648</v>
      </c>
      <c r="I117" s="29" t="n">
        <f aca="false">H117*Controls!$B$52</f>
        <v>973519.86400222</v>
      </c>
      <c r="J117" s="29" t="n">
        <f aca="false">'City Fiscal'!$B$5+(H117*Controls!$B$56*Controls!$B$55)+('City Fiscal'!$B$9*B117*F117)</f>
        <v>145324.202013739</v>
      </c>
      <c r="K117" s="29" t="n">
        <f aca="false">J117-('City Fiscal'!$B$13*E117)</f>
        <v>31734.0247859812</v>
      </c>
      <c r="L117" s="30" t="n">
        <f aca="false">'Mobility &amp; Emissions'!$B$21*B117*F117</f>
        <v>84.3758613830157</v>
      </c>
    </row>
    <row r="118" customFormat="false" ht="15" hidden="false" customHeight="true" outlineLevel="0" collapsed="false">
      <c r="A118" s="14" t="n">
        <v>114</v>
      </c>
      <c r="B118" s="47" t="n">
        <v>0.810945112699746</v>
      </c>
      <c r="C118" s="47" t="n">
        <v>0.9696094916775</v>
      </c>
      <c r="D118" s="47" t="n">
        <v>0.976519464684799</v>
      </c>
      <c r="E118" s="47" t="n">
        <v>1.12754082312869</v>
      </c>
      <c r="F118" s="47" t="n">
        <v>0.955959898074696</v>
      </c>
      <c r="G118" s="27" t="n">
        <f aca="false">'Visitor Economics'!$B$5*B118</f>
        <v>26112.4326289318</v>
      </c>
      <c r="H118" s="29" t="n">
        <f aca="false">MAX(0,'Visitor Economics'!$B$18*B118*C118*D118)</f>
        <v>555602.118430088</v>
      </c>
      <c r="I118" s="29" t="n">
        <f aca="false">H118*Controls!$B$52</f>
        <v>788955.008170725</v>
      </c>
      <c r="J118" s="29" t="n">
        <f aca="false">'City Fiscal'!$B$5+(H118*Controls!$B$56*Controls!$B$55)+('City Fiscal'!$B$9*B118*F118)</f>
        <v>130820.333320851</v>
      </c>
      <c r="K118" s="29" t="n">
        <f aca="false">J118-('City Fiscal'!$B$13*E118)</f>
        <v>6790.84277669473</v>
      </c>
      <c r="L118" s="30" t="n">
        <f aca="false">'Mobility &amp; Emissions'!$B$21*B118*F118</f>
        <v>72.3536278022128</v>
      </c>
    </row>
    <row r="119" customFormat="false" ht="15" hidden="false" customHeight="true" outlineLevel="0" collapsed="false">
      <c r="A119" s="14" t="n">
        <v>115</v>
      </c>
      <c r="B119" s="47" t="n">
        <v>0.892174863494457</v>
      </c>
      <c r="C119" s="47" t="n">
        <v>0.844919871588754</v>
      </c>
      <c r="D119" s="47" t="n">
        <v>0.874573252032485</v>
      </c>
      <c r="E119" s="47" t="n">
        <v>1.00300556686435</v>
      </c>
      <c r="F119" s="47" t="n">
        <v>0.891079191812887</v>
      </c>
      <c r="G119" s="27" t="n">
        <f aca="false">'Visitor Economics'!$B$5*B119</f>
        <v>28728.0306045215</v>
      </c>
      <c r="H119" s="29" t="n">
        <f aca="false">MAX(0,'Visitor Economics'!$B$18*B119*C119*D119)</f>
        <v>477041.72608479</v>
      </c>
      <c r="I119" s="29" t="n">
        <f aca="false">H119*Controls!$B$52</f>
        <v>677399.251040402</v>
      </c>
      <c r="J119" s="29" t="n">
        <f aca="false">'City Fiscal'!$B$5+(H119*Controls!$B$56*Controls!$B$55)+('City Fiscal'!$B$9*B119*F119)</f>
        <v>132407.77291409</v>
      </c>
      <c r="K119" s="29" t="n">
        <f aca="false">J119-('City Fiscal'!$B$13*E119)</f>
        <v>22077.1605590115</v>
      </c>
      <c r="L119" s="30" t="n">
        <f aca="false">'Mobility &amp; Emissions'!$B$21*B119*F119</f>
        <v>74.1985574255733</v>
      </c>
    </row>
    <row r="120" customFormat="false" ht="15" hidden="false" customHeight="true" outlineLevel="0" collapsed="false">
      <c r="A120" s="14" t="n">
        <v>116</v>
      </c>
      <c r="B120" s="47" t="n">
        <v>0.954182069312383</v>
      </c>
      <c r="C120" s="47" t="n">
        <v>0.880373835392494</v>
      </c>
      <c r="D120" s="47" t="n">
        <v>1.16160458156669</v>
      </c>
      <c r="E120" s="47" t="n">
        <v>0.937211347573518</v>
      </c>
      <c r="F120" s="47" t="n">
        <v>1.0073027680717</v>
      </c>
      <c r="G120" s="27" t="n">
        <f aca="false">'Visitor Economics'!$B$5*B120</f>
        <v>30724.6626318587</v>
      </c>
      <c r="H120" s="29" t="n">
        <f aca="false">MAX(0,'Visitor Economics'!$B$18*B120*C120*D120)</f>
        <v>706075.860410649</v>
      </c>
      <c r="I120" s="29" t="n">
        <f aca="false">H120*Controls!$B$52</f>
        <v>1002627.72178312</v>
      </c>
      <c r="J120" s="29" t="n">
        <f aca="false">'City Fiscal'!$B$5+(H120*Controls!$B$56*Controls!$B$55)+('City Fiscal'!$B$9*B120*F120)</f>
        <v>151513.764556292</v>
      </c>
      <c r="K120" s="29" t="n">
        <f aca="false">J120-('City Fiscal'!$B$13*E120)</f>
        <v>48420.5163232053</v>
      </c>
      <c r="L120" s="30" t="n">
        <f aca="false">'Mobility &amp; Emissions'!$B$21*B120*F120</f>
        <v>89.7057858231315</v>
      </c>
    </row>
    <row r="121" customFormat="false" ht="15" hidden="false" customHeight="true" outlineLevel="0" collapsed="false">
      <c r="A121" s="14" t="n">
        <v>117</v>
      </c>
      <c r="B121" s="47" t="n">
        <v>0.88312322725749</v>
      </c>
      <c r="C121" s="47" t="n">
        <v>0.974055184917613</v>
      </c>
      <c r="D121" s="47" t="n">
        <v>1.12151361939879</v>
      </c>
      <c r="E121" s="47" t="n">
        <v>1.15246154604465</v>
      </c>
      <c r="F121" s="47" t="n">
        <v>1.08142522329603</v>
      </c>
      <c r="G121" s="27" t="n">
        <f aca="false">'Visitor Economics'!$B$5*B121</f>
        <v>28436.5679176912</v>
      </c>
      <c r="H121" s="29" t="n">
        <f aca="false">MAX(0,'Visitor Economics'!$B$18*B121*C121*D121)</f>
        <v>698078.224970609</v>
      </c>
      <c r="I121" s="29" t="n">
        <f aca="false">H121*Controls!$B$52</f>
        <v>991271.079458265</v>
      </c>
      <c r="J121" s="29" t="n">
        <f aca="false">'City Fiscal'!$B$5+(H121*Controls!$B$56*Controls!$B$55)+('City Fiscal'!$B$9*B121*F121)</f>
        <v>150813.01873503</v>
      </c>
      <c r="K121" s="29" t="n">
        <f aca="false">J121-('City Fiscal'!$B$13*E121)</f>
        <v>24042.2486701188</v>
      </c>
      <c r="L121" s="30" t="n">
        <f aca="false">'Mobility &amp; Emissions'!$B$21*B121*F121</f>
        <v>89.1347352167543</v>
      </c>
    </row>
    <row r="122" customFormat="false" ht="15" hidden="false" customHeight="true" outlineLevel="0" collapsed="false">
      <c r="A122" s="14" t="n">
        <v>118</v>
      </c>
      <c r="B122" s="47" t="n">
        <v>0.917232649176499</v>
      </c>
      <c r="C122" s="47" t="n">
        <v>0.967610975201711</v>
      </c>
      <c r="D122" s="47" t="n">
        <v>0.974669206604435</v>
      </c>
      <c r="E122" s="47" t="n">
        <v>0.943638586209969</v>
      </c>
      <c r="F122" s="47" t="n">
        <v>0.955107088248129</v>
      </c>
      <c r="G122" s="27" t="n">
        <f aca="false">'Visitor Economics'!$B$5*B122</f>
        <v>29534.8913034833</v>
      </c>
      <c r="H122" s="29" t="n">
        <f aca="false">MAX(0,'Visitor Economics'!$B$18*B122*C122*D122)</f>
        <v>625939.279721802</v>
      </c>
      <c r="I122" s="29" t="n">
        <f aca="false">H122*Controls!$B$52</f>
        <v>888833.777204959</v>
      </c>
      <c r="J122" s="29" t="n">
        <f aca="false">'City Fiscal'!$B$5+(H122*Controls!$B$56*Controls!$B$55)+('City Fiscal'!$B$9*B122*F122)</f>
        <v>141969.427696544</v>
      </c>
      <c r="K122" s="29" t="n">
        <f aca="false">J122-('City Fiscal'!$B$13*E122)</f>
        <v>38169.1832134476</v>
      </c>
      <c r="L122" s="30" t="n">
        <f aca="false">'Mobility &amp; Emissions'!$B$21*B122*F122</f>
        <v>81.7637402242733</v>
      </c>
    </row>
    <row r="123" customFormat="false" ht="15" hidden="false" customHeight="true" outlineLevel="0" collapsed="false">
      <c r="A123" s="14" t="n">
        <v>119</v>
      </c>
      <c r="B123" s="47" t="n">
        <v>0.870079964476014</v>
      </c>
      <c r="C123" s="47" t="n">
        <v>0.920623058987491</v>
      </c>
      <c r="D123" s="47" t="n">
        <v>0.981199155067808</v>
      </c>
      <c r="E123" s="47" t="n">
        <v>0.977009235397157</v>
      </c>
      <c r="F123" s="47" t="n">
        <v>1.0390608274774</v>
      </c>
      <c r="G123" s="27" t="n">
        <f aca="false">'Visitor Economics'!$B$5*B123</f>
        <v>28016.5748561277</v>
      </c>
      <c r="H123" s="29" t="n">
        <f aca="false">MAX(0,'Visitor Economics'!$B$18*B123*C123*D123)</f>
        <v>568712.602024998</v>
      </c>
      <c r="I123" s="29" t="n">
        <f aca="false">H123*Controls!$B$52</f>
        <v>807571.894875497</v>
      </c>
      <c r="J123" s="29" t="n">
        <f aca="false">'City Fiscal'!$B$5+(H123*Controls!$B$56*Controls!$B$55)+('City Fiscal'!$B$9*B123*F123)</f>
        <v>144569.368372239</v>
      </c>
      <c r="K123" s="29" t="n">
        <f aca="false">J123-('City Fiscal'!$B$13*E123)</f>
        <v>37098.3524785516</v>
      </c>
      <c r="L123" s="30" t="n">
        <f aca="false">'Mobility &amp; Emissions'!$B$21*B123*F123</f>
        <v>84.3780174257829</v>
      </c>
    </row>
    <row r="124" customFormat="false" ht="15" hidden="false" customHeight="true" outlineLevel="0" collapsed="false">
      <c r="A124" s="14" t="n">
        <v>120</v>
      </c>
      <c r="B124" s="47" t="n">
        <v>0.850874537035525</v>
      </c>
      <c r="C124" s="47" t="n">
        <v>0.895835347958587</v>
      </c>
      <c r="D124" s="47" t="n">
        <v>1.03118215337866</v>
      </c>
      <c r="E124" s="47" t="n">
        <v>0.982579519005316</v>
      </c>
      <c r="F124" s="47" t="n">
        <v>1.07728480213876</v>
      </c>
      <c r="G124" s="27" t="n">
        <f aca="false">'Visitor Economics'!$B$5*B124</f>
        <v>27398.1600925439</v>
      </c>
      <c r="H124" s="29" t="n">
        <f aca="false">MAX(0,'Visitor Economics'!$B$18*B124*C124*D124)</f>
        <v>568753.103997042</v>
      </c>
      <c r="I124" s="29" t="n">
        <f aca="false">H124*Controls!$B$52</f>
        <v>807629.407675799</v>
      </c>
      <c r="J124" s="29" t="n">
        <f aca="false">'City Fiscal'!$B$5+(H124*Controls!$B$56*Controls!$B$55)+('City Fiscal'!$B$9*B124*F124)</f>
        <v>145902.598344752</v>
      </c>
      <c r="K124" s="29" t="n">
        <f aca="false">J124-('City Fiscal'!$B$13*E124)</f>
        <v>37818.8512541673</v>
      </c>
      <c r="L124" s="30" t="n">
        <f aca="false">'Mobility &amp; Emissions'!$B$21*B124*F124</f>
        <v>85.5510288431491</v>
      </c>
    </row>
    <row r="125" customFormat="false" ht="15" hidden="false" customHeight="true" outlineLevel="0" collapsed="false">
      <c r="A125" s="14" t="n">
        <v>121</v>
      </c>
      <c r="B125" s="47" t="n">
        <v>0.911736099835998</v>
      </c>
      <c r="C125" s="47" t="n">
        <v>0.911043945432961</v>
      </c>
      <c r="D125" s="47" t="n">
        <v>0.878325479912381</v>
      </c>
      <c r="E125" s="47" t="n">
        <v>1.17631994842564</v>
      </c>
      <c r="F125" s="47" t="n">
        <v>0.932021338686954</v>
      </c>
      <c r="G125" s="27" t="n">
        <f aca="false">'Visitor Economics'!$B$5*B125</f>
        <v>29357.9024147191</v>
      </c>
      <c r="H125" s="29" t="n">
        <f aca="false">MAX(0,'Visitor Economics'!$B$18*B125*C125*D125)</f>
        <v>527908.467906667</v>
      </c>
      <c r="I125" s="29" t="n">
        <f aca="false">H125*Controls!$B$52</f>
        <v>749630.024427467</v>
      </c>
      <c r="J125" s="29" t="n">
        <f aca="false">'City Fiscal'!$B$5+(H125*Controls!$B$56*Controls!$B$55)+('City Fiscal'!$B$9*B125*F125)</f>
        <v>138545.065156805</v>
      </c>
      <c r="K125" s="29" t="n">
        <f aca="false">J125-('City Fiscal'!$B$13*E125)</f>
        <v>9149.8708299845</v>
      </c>
      <c r="L125" s="30" t="n">
        <f aca="false">'Mobility &amp; Emissions'!$B$21*B125*F125</f>
        <v>79.3093120905973</v>
      </c>
    </row>
    <row r="126" customFormat="false" ht="15" hidden="false" customHeight="true" outlineLevel="0" collapsed="false">
      <c r="A126" s="14" t="n">
        <v>122</v>
      </c>
      <c r="B126" s="47" t="n">
        <v>0.898439858155943</v>
      </c>
      <c r="C126" s="47" t="n">
        <v>0.960488433687617</v>
      </c>
      <c r="D126" s="47" t="n">
        <v>0.931337701845905</v>
      </c>
      <c r="E126" s="47" t="n">
        <v>1.20662662106776</v>
      </c>
      <c r="F126" s="47" t="n">
        <v>1.02018282085949</v>
      </c>
      <c r="G126" s="27" t="n">
        <f aca="false">'Visitor Economics'!$B$5*B126</f>
        <v>28929.7634326214</v>
      </c>
      <c r="H126" s="29" t="n">
        <f aca="false">MAX(0,'Visitor Economics'!$B$18*B126*C126*D126)</f>
        <v>581544.568327593</v>
      </c>
      <c r="I126" s="29" t="n">
        <f aca="false">H126*Controls!$B$52</f>
        <v>825793.287025182</v>
      </c>
      <c r="J126" s="29" t="n">
        <f aca="false">'City Fiscal'!$B$5+(H126*Controls!$B$56*Controls!$B$55)+('City Fiscal'!$B$9*B126*F126)</f>
        <v>145978.985800968</v>
      </c>
      <c r="K126" s="29" t="n">
        <f aca="false">J126-('City Fiscal'!$B$13*E126)</f>
        <v>13250.0574835149</v>
      </c>
      <c r="L126" s="30" t="n">
        <f aca="false">'Mobility &amp; Emissions'!$B$21*B126*F126</f>
        <v>85.545307758421</v>
      </c>
    </row>
    <row r="127" customFormat="false" ht="15" hidden="false" customHeight="true" outlineLevel="0" collapsed="false">
      <c r="A127" s="14" t="n">
        <v>123</v>
      </c>
      <c r="B127" s="47" t="n">
        <v>0.929733727228826</v>
      </c>
      <c r="C127" s="47" t="n">
        <v>1.0795277873103</v>
      </c>
      <c r="D127" s="47" t="n">
        <v>0.931678937232564</v>
      </c>
      <c r="E127" s="47" t="n">
        <v>1.10993305172169</v>
      </c>
      <c r="F127" s="47" t="n">
        <v>1.02915919563326</v>
      </c>
      <c r="G127" s="27" t="n">
        <f aca="false">'Visitor Economics'!$B$5*B127</f>
        <v>29937.4260167682</v>
      </c>
      <c r="H127" s="29" t="n">
        <f aca="false">MAX(0,'Visitor Economics'!$B$18*B127*C127*D127)</f>
        <v>676633.28589158</v>
      </c>
      <c r="I127" s="29" t="n">
        <f aca="false">H127*Controls!$B$52</f>
        <v>960819.265966043</v>
      </c>
      <c r="J127" s="29" t="n">
        <f aca="false">'City Fiscal'!$B$5+(H127*Controls!$B$56*Controls!$B$55)+('City Fiscal'!$B$9*B127*F127)</f>
        <v>150866.263854452</v>
      </c>
      <c r="K127" s="29" t="n">
        <f aca="false">J127-('City Fiscal'!$B$13*E127)</f>
        <v>28773.6281650657</v>
      </c>
      <c r="L127" s="30" t="n">
        <f aca="false">'Mobility &amp; Emissions'!$B$21*B127*F127</f>
        <v>89.3038785424493</v>
      </c>
    </row>
    <row r="128" customFormat="false" ht="15" hidden="false" customHeight="true" outlineLevel="0" collapsed="false">
      <c r="A128" s="14" t="n">
        <v>124</v>
      </c>
      <c r="B128" s="47" t="n">
        <v>0.861667619042066</v>
      </c>
      <c r="C128" s="47" t="n">
        <v>0.966324980779086</v>
      </c>
      <c r="D128" s="47" t="n">
        <v>1.0005681455788</v>
      </c>
      <c r="E128" s="47" t="n">
        <v>0.920886569968455</v>
      </c>
      <c r="F128" s="47" t="n">
        <v>1.04661963435932</v>
      </c>
      <c r="G128" s="27" t="n">
        <f aca="false">'Visitor Economics'!$B$5*B128</f>
        <v>27745.6973331545</v>
      </c>
      <c r="H128" s="29" t="n">
        <f aca="false">MAX(0,'Visitor Economics'!$B$18*B128*C128*D128)</f>
        <v>602843.137534742</v>
      </c>
      <c r="I128" s="29" t="n">
        <f aca="false">H128*Controls!$B$52</f>
        <v>856037.255299333</v>
      </c>
      <c r="J128" s="29" t="n">
        <f aca="false">'City Fiscal'!$B$5+(H128*Controls!$B$56*Controls!$B$55)+('City Fiscal'!$B$9*B128*F128)</f>
        <v>144554.260856711</v>
      </c>
      <c r="K128" s="29" t="n">
        <f aca="false">J128-('City Fiscal'!$B$13*E128)</f>
        <v>43256.7381601812</v>
      </c>
      <c r="L128" s="30" t="n">
        <f aca="false">'Mobility &amp; Emissions'!$B$21*B128*F128</f>
        <v>84.1700968464278</v>
      </c>
    </row>
    <row r="129" customFormat="false" ht="15" hidden="false" customHeight="true" outlineLevel="0" collapsed="false">
      <c r="A129" s="14" t="n">
        <v>125</v>
      </c>
      <c r="B129" s="47" t="n">
        <v>0.920260338881667</v>
      </c>
      <c r="C129" s="47" t="n">
        <v>0.867906158268014</v>
      </c>
      <c r="D129" s="47" t="n">
        <v>1.12808302005053</v>
      </c>
      <c r="E129" s="47" t="n">
        <v>1.03637942514823</v>
      </c>
      <c r="F129" s="47" t="n">
        <v>1.03745001110618</v>
      </c>
      <c r="G129" s="27" t="n">
        <f aca="false">'Visitor Economics'!$B$5*B129</f>
        <v>29632.3829119897</v>
      </c>
      <c r="H129" s="29" t="n">
        <f aca="false">MAX(0,'Visitor Economics'!$B$18*B129*C129*D129)</f>
        <v>651957.381933282</v>
      </c>
      <c r="I129" s="29" t="n">
        <f aca="false">H129*Controls!$B$52</f>
        <v>925779.48234526</v>
      </c>
      <c r="J129" s="29" t="n">
        <f aca="false">'City Fiscal'!$B$5+(H129*Controls!$B$56*Controls!$B$55)+('City Fiscal'!$B$9*B129*F129)</f>
        <v>150481.528347828</v>
      </c>
      <c r="K129" s="29" t="n">
        <f aca="false">J129-('City Fiscal'!$B$13*E129)</f>
        <v>36479.7915815229</v>
      </c>
      <c r="L129" s="30" t="n">
        <f aca="false">'Mobility &amp; Emissions'!$B$21*B129*F129</f>
        <v>89.1060231713525</v>
      </c>
    </row>
    <row r="130" customFormat="false" ht="15" hidden="false" customHeight="true" outlineLevel="0" collapsed="false">
      <c r="A130" s="14" t="n">
        <v>126</v>
      </c>
      <c r="B130" s="47" t="n">
        <v>0.884579156623105</v>
      </c>
      <c r="C130" s="47" t="n">
        <v>1.02150126904371</v>
      </c>
      <c r="D130" s="47" t="n">
        <v>1.13761116603506</v>
      </c>
      <c r="E130" s="47" t="n">
        <v>0.969431924299997</v>
      </c>
      <c r="F130" s="47" t="n">
        <v>0.979470073762241</v>
      </c>
      <c r="G130" s="27" t="n">
        <f aca="false">'Visitor Economics'!$B$5*B130</f>
        <v>28483.448843264</v>
      </c>
      <c r="H130" s="29" t="n">
        <f aca="false">MAX(0,'Visitor Economics'!$B$18*B130*C130*D130)</f>
        <v>743813.622742385</v>
      </c>
      <c r="I130" s="29" t="n">
        <f aca="false">H130*Controls!$B$52</f>
        <v>1056215.34429419</v>
      </c>
      <c r="J130" s="29" t="n">
        <f aca="false">'City Fiscal'!$B$5+(H130*Controls!$B$56*Controls!$B$55)+('City Fiscal'!$B$9*B130*F130)</f>
        <v>141711.208429898</v>
      </c>
      <c r="K130" s="29" t="n">
        <f aca="false">J130-('City Fiscal'!$B$13*E130)</f>
        <v>35073.6967568979</v>
      </c>
      <c r="L130" s="30" t="n">
        <f aca="false">'Mobility &amp; Emissions'!$B$21*B130*F130</f>
        <v>80.8643406159836</v>
      </c>
    </row>
    <row r="131" customFormat="false" ht="15" hidden="false" customHeight="true" outlineLevel="0" collapsed="false">
      <c r="A131" s="14" t="n">
        <v>127</v>
      </c>
      <c r="B131" s="47" t="n">
        <v>0.954915439618908</v>
      </c>
      <c r="C131" s="47" t="n">
        <v>1.04614879824945</v>
      </c>
      <c r="D131" s="47" t="n">
        <v>1.10639899025425</v>
      </c>
      <c r="E131" s="47" t="n">
        <v>0.947035034537721</v>
      </c>
      <c r="F131" s="47" t="n">
        <v>1.02441138586639</v>
      </c>
      <c r="G131" s="27" t="n">
        <f aca="false">'Visitor Economics'!$B$5*B131</f>
        <v>30748.2771557288</v>
      </c>
      <c r="H131" s="29" t="n">
        <f aca="false">MAX(0,'Visitor Economics'!$B$18*B131*C131*D131)</f>
        <v>799769.459977234</v>
      </c>
      <c r="I131" s="29" t="n">
        <f aca="false">H131*Controls!$B$52</f>
        <v>1135672.63316767</v>
      </c>
      <c r="J131" s="29" t="n">
        <f aca="false">'City Fiscal'!$B$5+(H131*Controls!$B$56*Controls!$B$55)+('City Fiscal'!$B$9*B131*F131)</f>
        <v>153931.959274608</v>
      </c>
      <c r="K131" s="29" t="n">
        <f aca="false">J131-('City Fiscal'!$B$13*E131)</f>
        <v>49758.1054754583</v>
      </c>
      <c r="L131" s="30" t="n">
        <f aca="false">'Mobility &amp; Emissions'!$B$21*B131*F131</f>
        <v>91.2995187930806</v>
      </c>
    </row>
    <row r="132" customFormat="false" ht="15" hidden="false" customHeight="true" outlineLevel="0" collapsed="false">
      <c r="A132" s="14" t="n">
        <v>128</v>
      </c>
      <c r="B132" s="47" t="n">
        <v>0.93550147930289</v>
      </c>
      <c r="C132" s="47" t="n">
        <v>0.892187256493096</v>
      </c>
      <c r="D132" s="47" t="n">
        <v>1.0034107666584</v>
      </c>
      <c r="E132" s="47" t="n">
        <v>1.16737887679292</v>
      </c>
      <c r="F132" s="47" t="n">
        <v>0.965509739849071</v>
      </c>
      <c r="G132" s="27" t="n">
        <f aca="false">'Visitor Economics'!$B$5*B132</f>
        <v>30123.1476335531</v>
      </c>
      <c r="H132" s="29" t="n">
        <f aca="false">MAX(0,'Visitor Economics'!$B$18*B132*C132*D132)</f>
        <v>606001.80900553</v>
      </c>
      <c r="I132" s="29" t="n">
        <f aca="false">H132*Controls!$B$52</f>
        <v>860522.568787852</v>
      </c>
      <c r="J132" s="29" t="n">
        <f aca="false">'City Fiscal'!$B$5+(H132*Controls!$B$56*Controls!$B$55)+('City Fiscal'!$B$9*B132*F132)</f>
        <v>144722.950555489</v>
      </c>
      <c r="K132" s="29" t="n">
        <f aca="false">J132-('City Fiscal'!$B$13*E132)</f>
        <v>16311.2741082682</v>
      </c>
      <c r="L132" s="30" t="n">
        <f aca="false">'Mobility &amp; Emissions'!$B$21*B132*F132</f>
        <v>84.3005317731576</v>
      </c>
    </row>
    <row r="133" customFormat="false" ht="15" hidden="false" customHeight="true" outlineLevel="0" collapsed="false">
      <c r="A133" s="14" t="n">
        <v>129</v>
      </c>
      <c r="B133" s="47" t="n">
        <v>0.985186209628942</v>
      </c>
      <c r="C133" s="47" t="n">
        <v>0.90458723307923</v>
      </c>
      <c r="D133" s="47" t="n">
        <v>0.922903813804951</v>
      </c>
      <c r="E133" s="47" t="n">
        <v>1.23060283525873</v>
      </c>
      <c r="F133" s="47" t="n">
        <v>0.936298899181855</v>
      </c>
      <c r="G133" s="27" t="n">
        <f aca="false">'Visitor Economics'!$B$5*B133</f>
        <v>31722.9959500519</v>
      </c>
      <c r="H133" s="29" t="n">
        <f aca="false">MAX(0,'Visitor Economics'!$B$18*B133*C133*D133)</f>
        <v>595141.024599344</v>
      </c>
      <c r="I133" s="29" t="n">
        <f aca="false">H133*Controls!$B$52</f>
        <v>845100.254931069</v>
      </c>
      <c r="J133" s="29" t="n">
        <f aca="false">'City Fiscal'!$B$5+(H133*Controls!$B$56*Controls!$B$55)+('City Fiscal'!$B$9*B133*F133)</f>
        <v>146688.155467124</v>
      </c>
      <c r="K133" s="29" t="n">
        <f aca="false">J133-('City Fiscal'!$B$13*E133)</f>
        <v>11321.8435886635</v>
      </c>
      <c r="L133" s="30" t="n">
        <f aca="false">'Mobility &amp; Emissions'!$B$21*B133*F133</f>
        <v>86.0918446323937</v>
      </c>
    </row>
    <row r="134" customFormat="false" ht="15" hidden="false" customHeight="true" outlineLevel="0" collapsed="false">
      <c r="A134" s="14" t="n">
        <v>130</v>
      </c>
      <c r="B134" s="47" t="n">
        <v>0.911608510363122</v>
      </c>
      <c r="C134" s="47" t="n">
        <v>0.924052871176148</v>
      </c>
      <c r="D134" s="47" t="n">
        <v>0.858436598600398</v>
      </c>
      <c r="E134" s="47" t="n">
        <v>1.06612844156858</v>
      </c>
      <c r="F134" s="47" t="n">
        <v>0.907118298293979</v>
      </c>
      <c r="G134" s="27" t="n">
        <f aca="false">'Visitor Economics'!$B$5*B134</f>
        <v>29353.7940336925</v>
      </c>
      <c r="H134" s="29" t="n">
        <f aca="false">MAX(0,'Visitor Economics'!$B$18*B134*C134*D134)</f>
        <v>523248.613631155</v>
      </c>
      <c r="I134" s="29" t="n">
        <f aca="false">H134*Controls!$B$52</f>
        <v>743013.031356241</v>
      </c>
      <c r="J134" s="29" t="n">
        <f aca="false">'City Fiscal'!$B$5+(H134*Controls!$B$56*Controls!$B$55)+('City Fiscal'!$B$9*B134*F134)</f>
        <v>136094.530177893</v>
      </c>
      <c r="K134" s="29" t="n">
        <f aca="false">J134-('City Fiscal'!$B$13*E134)</f>
        <v>18820.401605349</v>
      </c>
      <c r="L134" s="30" t="n">
        <f aca="false">'Mobility &amp; Emissions'!$B$21*B134*F134</f>
        <v>77.1794136621754</v>
      </c>
    </row>
    <row r="135" customFormat="false" ht="15" hidden="false" customHeight="true" outlineLevel="0" collapsed="false">
      <c r="A135" s="14" t="n">
        <v>131</v>
      </c>
      <c r="B135" s="47" t="n">
        <v>0.962973690282467</v>
      </c>
      <c r="C135" s="47" t="n">
        <v>1.01325731875206</v>
      </c>
      <c r="D135" s="47" t="n">
        <v>0.945376237712678</v>
      </c>
      <c r="E135" s="47" t="n">
        <v>1.01758065915247</v>
      </c>
      <c r="F135" s="47" t="n">
        <v>1.05572646182518</v>
      </c>
      <c r="G135" s="27" t="n">
        <f aca="false">'Visitor Economics'!$B$5*B135</f>
        <v>31007.7528270954</v>
      </c>
      <c r="H135" s="29" t="n">
        <f aca="false">MAX(0,'Visitor Economics'!$B$18*B135*C135*D135)</f>
        <v>667472.723301987</v>
      </c>
      <c r="I135" s="29" t="n">
        <f aca="false">H135*Controls!$B$52</f>
        <v>947811.267088821</v>
      </c>
      <c r="J135" s="29" t="n">
        <f aca="false">'City Fiscal'!$B$5+(H135*Controls!$B$56*Controls!$B$55)+('City Fiscal'!$B$9*B135*F135)</f>
        <v>157148.452187901</v>
      </c>
      <c r="K135" s="29" t="n">
        <f aca="false">J135-('City Fiscal'!$B$13*E135)</f>
        <v>45214.5796811294</v>
      </c>
      <c r="L135" s="30" t="n">
        <f aca="false">'Mobility &amp; Emissions'!$B$21*B135*F135</f>
        <v>94.8844414679957</v>
      </c>
    </row>
    <row r="136" customFormat="false" ht="15" hidden="false" customHeight="true" outlineLevel="0" collapsed="false">
      <c r="A136" s="14" t="n">
        <v>132</v>
      </c>
      <c r="B136" s="47" t="n">
        <v>0.957358160946537</v>
      </c>
      <c r="C136" s="47" t="n">
        <v>1.09965301005062</v>
      </c>
      <c r="D136" s="47" t="n">
        <v>0.970100762754914</v>
      </c>
      <c r="E136" s="47" t="n">
        <v>0.973267413366312</v>
      </c>
      <c r="F136" s="47" t="n">
        <v>1.03390736457466</v>
      </c>
      <c r="G136" s="27" t="n">
        <f aca="false">'Visitor Economics'!$B$5*B136</f>
        <v>30826.9327824785</v>
      </c>
      <c r="H136" s="29" t="n">
        <f aca="false">MAX(0,'Visitor Economics'!$B$18*B136*C136*D136)</f>
        <v>738995.215648437</v>
      </c>
      <c r="I136" s="29" t="n">
        <f aca="false">H136*Controls!$B$52</f>
        <v>1049373.20622078</v>
      </c>
      <c r="J136" s="29" t="n">
        <f aca="false">'City Fiscal'!$B$5+(H136*Controls!$B$56*Controls!$B$55)+('City Fiscal'!$B$9*B136*F136)</f>
        <v>154767.724134681</v>
      </c>
      <c r="K136" s="29" t="n">
        <f aca="false">J136-('City Fiscal'!$B$13*E136)</f>
        <v>47708.3086643868</v>
      </c>
      <c r="L136" s="30" t="n">
        <f aca="false">'Mobility &amp; Emissions'!$B$21*B136*F136</f>
        <v>92.3815509208058</v>
      </c>
    </row>
    <row r="137" customFormat="false" ht="15" hidden="false" customHeight="true" outlineLevel="0" collapsed="false">
      <c r="A137" s="14" t="n">
        <v>133</v>
      </c>
      <c r="B137" s="47" t="n">
        <v>0.965778233153096</v>
      </c>
      <c r="C137" s="47" t="n">
        <v>0.956392815060032</v>
      </c>
      <c r="D137" s="47" t="n">
        <v>1.00725270341361</v>
      </c>
      <c r="E137" s="47" t="n">
        <v>0.979212122654024</v>
      </c>
      <c r="F137" s="47" t="n">
        <v>0.951624308115726</v>
      </c>
      <c r="G137" s="27" t="n">
        <f aca="false">'Visitor Economics'!$B$5*B137</f>
        <v>31098.0591075297</v>
      </c>
      <c r="H137" s="29" t="n">
        <f aca="false">MAX(0,'Visitor Economics'!$B$18*B137*C137*D137)</f>
        <v>673204.21897245</v>
      </c>
      <c r="I137" s="29" t="n">
        <f aca="false">H137*Controls!$B$52</f>
        <v>955949.990940879</v>
      </c>
      <c r="J137" s="29" t="n">
        <f aca="false">'City Fiscal'!$B$5+(H137*Controls!$B$56*Controls!$B$55)+('City Fiscal'!$B$9*B137*F137)</f>
        <v>146836.510548222</v>
      </c>
      <c r="K137" s="29" t="n">
        <f aca="false">J137-('City Fiscal'!$B$13*E137)</f>
        <v>39123.1770562798</v>
      </c>
      <c r="L137" s="30" t="n">
        <f aca="false">'Mobility &amp; Emissions'!$B$21*B137*F137</f>
        <v>85.7772495441673</v>
      </c>
    </row>
    <row r="138" customFormat="false" ht="15" hidden="false" customHeight="true" outlineLevel="0" collapsed="false">
      <c r="A138" s="14" t="n">
        <v>134</v>
      </c>
      <c r="B138" s="47" t="n">
        <v>0.88990541387939</v>
      </c>
      <c r="C138" s="47" t="n">
        <v>1.03192049046458</v>
      </c>
      <c r="D138" s="47" t="n">
        <v>0.984512346815541</v>
      </c>
      <c r="E138" s="47" t="n">
        <v>0.950935480294686</v>
      </c>
      <c r="F138" s="47" t="n">
        <v>0.928946184201645</v>
      </c>
      <c r="G138" s="27" t="n">
        <f aca="false">'Visitor Economics'!$B$5*B138</f>
        <v>28654.9543269164</v>
      </c>
      <c r="H138" s="29" t="n">
        <f aca="false">MAX(0,'Visitor Economics'!$B$18*B138*C138*D138)</f>
        <v>654193.043458419</v>
      </c>
      <c r="I138" s="29" t="n">
        <f aca="false">H138*Controls!$B$52</f>
        <v>928954.121710956</v>
      </c>
      <c r="J138" s="29" t="n">
        <f aca="false">'City Fiscal'!$B$5+(H138*Controls!$B$56*Controls!$B$55)+('City Fiscal'!$B$9*B138*F138)</f>
        <v>136915.20731663</v>
      </c>
      <c r="K138" s="29" t="n">
        <f aca="false">J138-('City Fiscal'!$B$13*E138)</f>
        <v>32312.3044842147</v>
      </c>
      <c r="L138" s="30" t="n">
        <f aca="false">'Mobility &amp; Emissions'!$B$21*B138*F138</f>
        <v>77.1549120276173</v>
      </c>
    </row>
    <row r="139" customFormat="false" ht="15" hidden="false" customHeight="true" outlineLevel="0" collapsed="false">
      <c r="A139" s="14" t="n">
        <v>135</v>
      </c>
      <c r="B139" s="47" t="n">
        <v>0.921349100358892</v>
      </c>
      <c r="C139" s="47" t="n">
        <v>0.963718474804042</v>
      </c>
      <c r="D139" s="47" t="n">
        <v>0.815951356024495</v>
      </c>
      <c r="E139" s="47" t="n">
        <v>0.9216508730902</v>
      </c>
      <c r="F139" s="47" t="n">
        <v>1.05198214448377</v>
      </c>
      <c r="G139" s="27" t="n">
        <f aca="false">'Visitor Economics'!$B$5*B139</f>
        <v>29667.4410315563</v>
      </c>
      <c r="H139" s="29" t="n">
        <f aca="false">MAX(0,'Visitor Economics'!$B$18*B139*C139*D139)</f>
        <v>524243.843296171</v>
      </c>
      <c r="I139" s="29" t="n">
        <f aca="false">H139*Controls!$B$52</f>
        <v>744426.257480563</v>
      </c>
      <c r="J139" s="29" t="n">
        <f aca="false">'City Fiscal'!$B$5+(H139*Controls!$B$56*Controls!$B$55)+('City Fiscal'!$B$9*B139*F139)</f>
        <v>151193.780175057</v>
      </c>
      <c r="K139" s="29" t="n">
        <f aca="false">J139-('City Fiscal'!$B$13*E139)</f>
        <v>49812.1841351354</v>
      </c>
      <c r="L139" s="30" t="n">
        <f aca="false">'Mobility &amp; Emissions'!$B$21*B139*F139</f>
        <v>90.4610784620384</v>
      </c>
    </row>
    <row r="140" customFormat="false" ht="15" hidden="false" customHeight="true" outlineLevel="0" collapsed="false">
      <c r="A140" s="14" t="n">
        <v>136</v>
      </c>
      <c r="B140" s="47" t="n">
        <v>0.948753947477773</v>
      </c>
      <c r="C140" s="47" t="n">
        <v>0.853271609519228</v>
      </c>
      <c r="D140" s="47" t="n">
        <v>1.17768990388611</v>
      </c>
      <c r="E140" s="47" t="n">
        <v>1.01897240424573</v>
      </c>
      <c r="F140" s="47" t="n">
        <v>0.988374491868986</v>
      </c>
      <c r="G140" s="27" t="n">
        <f aca="false">'Visitor Economics'!$B$5*B140</f>
        <v>30549.8771087843</v>
      </c>
      <c r="H140" s="29" t="n">
        <f aca="false">MAX(0,'Visitor Economics'!$B$18*B140*C140*D140)</f>
        <v>689868.814619395</v>
      </c>
      <c r="I140" s="29" t="n">
        <f aca="false">H140*Controls!$B$52</f>
        <v>979613.71675954</v>
      </c>
      <c r="J140" s="29" t="n">
        <f aca="false">'City Fiscal'!$B$5+(H140*Controls!$B$56*Controls!$B$55)+('City Fiscal'!$B$9*B140*F140)</f>
        <v>148924.206494714</v>
      </c>
      <c r="K140" s="29" t="n">
        <f aca="false">J140-('City Fiscal'!$B$13*E140)</f>
        <v>36837.2420276833</v>
      </c>
      <c r="L140" s="30" t="n">
        <f aca="false">'Mobility &amp; Emissions'!$B$21*B140*F140</f>
        <v>87.5193937868624</v>
      </c>
    </row>
    <row r="141" customFormat="false" ht="15" hidden="false" customHeight="true" outlineLevel="0" collapsed="false">
      <c r="A141" s="14" t="n">
        <v>137</v>
      </c>
      <c r="B141" s="47" t="n">
        <v>0.85958391797342</v>
      </c>
      <c r="C141" s="47" t="n">
        <v>0.951761147535987</v>
      </c>
      <c r="D141" s="47" t="n">
        <v>0.929619851624041</v>
      </c>
      <c r="E141" s="47" t="n">
        <v>1.06380453818635</v>
      </c>
      <c r="F141" s="47" t="n">
        <v>0.986244265934387</v>
      </c>
      <c r="G141" s="27" t="n">
        <f aca="false">'Visitor Economics'!$B$5*B141</f>
        <v>27678.6021587441</v>
      </c>
      <c r="H141" s="29" t="n">
        <f aca="false">MAX(0,'Visitor Economics'!$B$18*B141*C141*D141)</f>
        <v>550321.287799295</v>
      </c>
      <c r="I141" s="29" t="n">
        <f aca="false">H141*Controls!$B$52</f>
        <v>781456.228674999</v>
      </c>
      <c r="J141" s="29" t="n">
        <f aca="false">'City Fiscal'!$B$5+(H141*Controls!$B$56*Controls!$B$55)+('City Fiscal'!$B$9*B141*F141)</f>
        <v>138478.417108127</v>
      </c>
      <c r="K141" s="29" t="n">
        <f aca="false">J141-('City Fiscal'!$B$13*E141)</f>
        <v>21459.9179076289</v>
      </c>
      <c r="L141" s="30" t="n">
        <f aca="false">'Mobility &amp; Emissions'!$B$21*B141*F141</f>
        <v>79.1228549436054</v>
      </c>
    </row>
    <row r="142" customFormat="false" ht="15" hidden="false" customHeight="true" outlineLevel="0" collapsed="false">
      <c r="A142" s="14" t="n">
        <v>138</v>
      </c>
      <c r="B142" s="47" t="n">
        <v>0.827269440445176</v>
      </c>
      <c r="C142" s="47" t="n">
        <v>0.916514247652873</v>
      </c>
      <c r="D142" s="47" t="n">
        <v>1.11835179454318</v>
      </c>
      <c r="E142" s="47" t="n">
        <v>0.876675391485194</v>
      </c>
      <c r="F142" s="47" t="n">
        <v>0.996892818068141</v>
      </c>
      <c r="G142" s="27" t="n">
        <f aca="false">'Visitor Economics'!$B$5*B142</f>
        <v>26638.0759823347</v>
      </c>
      <c r="H142" s="29" t="n">
        <f aca="false">MAX(0,'Visitor Economics'!$B$18*B142*C142*D142)</f>
        <v>613563.209965577</v>
      </c>
      <c r="I142" s="29" t="n">
        <f aca="false">H142*Controls!$B$52</f>
        <v>871259.758151119</v>
      </c>
      <c r="J142" s="29" t="n">
        <f aca="false">'City Fiscal'!$B$5+(H142*Controls!$B$56*Controls!$B$55)+('City Fiscal'!$B$9*B142*F142)</f>
        <v>136442.430826126</v>
      </c>
      <c r="K142" s="29" t="n">
        <f aca="false">J142-('City Fiscal'!$B$13*E142)</f>
        <v>40008.1377627549</v>
      </c>
      <c r="L142" s="30" t="n">
        <f aca="false">'Mobility &amp; Emissions'!$B$21*B142*F142</f>
        <v>76.9705562784834</v>
      </c>
    </row>
    <row r="143" customFormat="false" ht="15" hidden="false" customHeight="true" outlineLevel="0" collapsed="false">
      <c r="A143" s="14" t="n">
        <v>139</v>
      </c>
      <c r="B143" s="47" t="n">
        <v>0.889292268711012</v>
      </c>
      <c r="C143" s="47" t="n">
        <v>0.979226254116587</v>
      </c>
      <c r="D143" s="47" t="n">
        <v>0.919239003156443</v>
      </c>
      <c r="E143" s="47" t="n">
        <v>0.833910427743244</v>
      </c>
      <c r="F143" s="47" t="n">
        <v>1.0228091984458</v>
      </c>
      <c r="G143" s="27" t="n">
        <f aca="false">'Visitor Economics'!$B$5*B143</f>
        <v>28635.2110524946</v>
      </c>
      <c r="H143" s="29" t="n">
        <f aca="false">MAX(0,'Visitor Economics'!$B$18*B143*C143*D143)</f>
        <v>579229.507966552</v>
      </c>
      <c r="I143" s="29" t="n">
        <f aca="false">H143*Controls!$B$52</f>
        <v>822505.901312504</v>
      </c>
      <c r="J143" s="29" t="n">
        <f aca="false">'City Fiscal'!$B$5+(H143*Controls!$B$56*Controls!$B$55)+('City Fiscal'!$B$9*B143*F143)</f>
        <v>145221.933949687</v>
      </c>
      <c r="K143" s="29" t="n">
        <f aca="false">J143-('City Fiscal'!$B$13*E143)</f>
        <v>53491.7868979303</v>
      </c>
      <c r="L143" s="30" t="n">
        <f aca="false">'Mobility &amp; Emissions'!$B$21*B143*F143</f>
        <v>84.8923035294962</v>
      </c>
    </row>
    <row r="144" customFormat="false" ht="15" hidden="false" customHeight="true" outlineLevel="0" collapsed="false">
      <c r="A144" s="14" t="n">
        <v>140</v>
      </c>
      <c r="B144" s="47" t="n">
        <v>0.950631419215902</v>
      </c>
      <c r="C144" s="47" t="n">
        <v>1.01685931937397</v>
      </c>
      <c r="D144" s="47" t="n">
        <v>0.941260968619192</v>
      </c>
      <c r="E144" s="47" t="n">
        <v>0.957001824805365</v>
      </c>
      <c r="F144" s="47" t="n">
        <v>1.01914702907461</v>
      </c>
      <c r="G144" s="27" t="n">
        <f aca="false">'Visitor Economics'!$B$5*B144</f>
        <v>30610.331698752</v>
      </c>
      <c r="H144" s="29" t="n">
        <f aca="false">MAX(0,'Visitor Economics'!$B$18*B144*C144*D144)</f>
        <v>658381.709038858</v>
      </c>
      <c r="I144" s="29" t="n">
        <f aca="false">H144*Controls!$B$52</f>
        <v>934902.026835178</v>
      </c>
      <c r="J144" s="29" t="n">
        <f aca="false">'City Fiscal'!$B$5+(H144*Controls!$B$56*Controls!$B$55)+('City Fiscal'!$B$9*B144*F144)</f>
        <v>152019.550208007</v>
      </c>
      <c r="K144" s="29" t="n">
        <f aca="false">J144-('City Fiscal'!$B$13*E144)</f>
        <v>46749.3494794165</v>
      </c>
      <c r="L144" s="30" t="n">
        <f aca="false">'Mobility &amp; Emissions'!$B$21*B144*F144</f>
        <v>90.4228483254227</v>
      </c>
    </row>
    <row r="145" customFormat="false" ht="15" hidden="false" customHeight="true" outlineLevel="0" collapsed="false">
      <c r="A145" s="14" t="n">
        <v>141</v>
      </c>
      <c r="B145" s="47" t="n">
        <v>0.971626453510209</v>
      </c>
      <c r="C145" s="47" t="n">
        <v>0.959136623503663</v>
      </c>
      <c r="D145" s="47" t="n">
        <v>1.04079017709486</v>
      </c>
      <c r="E145" s="47" t="n">
        <v>0.976020191001037</v>
      </c>
      <c r="F145" s="47" t="n">
        <v>0.860606601717798</v>
      </c>
      <c r="G145" s="27" t="n">
        <f aca="false">'Visitor Economics'!$B$5*B145</f>
        <v>31286.3718030287</v>
      </c>
      <c r="H145" s="29" t="n">
        <f aca="false">MAX(0,'Visitor Economics'!$B$18*B145*C145*D145)</f>
        <v>701839.260948121</v>
      </c>
      <c r="I145" s="29" t="n">
        <f aca="false">H145*Controls!$B$52</f>
        <v>996611.750546331</v>
      </c>
      <c r="J145" s="29" t="n">
        <f aca="false">'City Fiscal'!$B$5+(H145*Controls!$B$56*Controls!$B$55)+('City Fiscal'!$B$9*B145*F145)</f>
        <v>138232.987335407</v>
      </c>
      <c r="K145" s="29" t="n">
        <f aca="false">J145-('City Fiscal'!$B$13*E145)</f>
        <v>30870.766325293</v>
      </c>
      <c r="L145" s="30" t="n">
        <f aca="false">'Mobility &amp; Emissions'!$B$21*B145*F145</f>
        <v>78.0428606535277</v>
      </c>
    </row>
    <row r="146" customFormat="false" ht="15" hidden="false" customHeight="true" outlineLevel="0" collapsed="false">
      <c r="A146" s="14" t="n">
        <v>142</v>
      </c>
      <c r="B146" s="47" t="n">
        <v>0.976319340664317</v>
      </c>
      <c r="C146" s="47" t="n">
        <v>0.856373066958946</v>
      </c>
      <c r="D146" s="47" t="n">
        <v>1.11097212509716</v>
      </c>
      <c r="E146" s="47" t="n">
        <v>0.99138640552856</v>
      </c>
      <c r="F146" s="47" t="n">
        <v>0.973965721068366</v>
      </c>
      <c r="G146" s="27" t="n">
        <f aca="false">'Visitor Economics'!$B$5*B146</f>
        <v>31437.482769391</v>
      </c>
      <c r="H146" s="29" t="n">
        <f aca="false">MAX(0,'Visitor Economics'!$B$18*B146*C146*D146)</f>
        <v>672129.140471261</v>
      </c>
      <c r="I146" s="29" t="n">
        <f aca="false">H146*Controls!$B$52</f>
        <v>954423.37946919</v>
      </c>
      <c r="J146" s="29" t="n">
        <f aca="false">'City Fiscal'!$B$5+(H146*Controls!$B$56*Controls!$B$55)+('City Fiscal'!$B$9*B146*F146)</f>
        <v>150206.828783578</v>
      </c>
      <c r="K146" s="29" t="n">
        <f aca="false">J146-('City Fiscal'!$B$13*E146)</f>
        <v>41154.3241754363</v>
      </c>
      <c r="L146" s="30" t="n">
        <f aca="false">'Mobility &amp; Emissions'!$B$21*B146*F146</f>
        <v>88.7492601189252</v>
      </c>
    </row>
    <row r="147" customFormat="false" ht="15" hidden="false" customHeight="true" outlineLevel="0" collapsed="false">
      <c r="A147" s="14" t="n">
        <v>143</v>
      </c>
      <c r="B147" s="47" t="n">
        <v>0.982851648757987</v>
      </c>
      <c r="C147" s="47" t="n">
        <v>0.887549981495186</v>
      </c>
      <c r="D147" s="47" t="n">
        <v>1.14574670269004</v>
      </c>
      <c r="E147" s="47" t="n">
        <v>1.04458882698354</v>
      </c>
      <c r="F147" s="47" t="n">
        <v>0.892160407967666</v>
      </c>
      <c r="G147" s="27" t="n">
        <f aca="false">'Visitor Economics'!$B$5*B147</f>
        <v>31647.8230900072</v>
      </c>
      <c r="H147" s="29" t="n">
        <f aca="false">MAX(0,'Visitor Economics'!$B$18*B147*C147*D147)</f>
        <v>723209.421918002</v>
      </c>
      <c r="I147" s="29" t="n">
        <f aca="false">H147*Controls!$B$52</f>
        <v>1026957.37912356</v>
      </c>
      <c r="J147" s="29" t="n">
        <f aca="false">'City Fiscal'!$B$5+(H147*Controls!$B$56*Controls!$B$55)+('City Fiscal'!$B$9*B147*F147)</f>
        <v>142685.213417372</v>
      </c>
      <c r="K147" s="29" t="n">
        <f aca="false">J147-('City Fiscal'!$B$13*E147)</f>
        <v>27780.4424491826</v>
      </c>
      <c r="L147" s="30" t="n">
        <f aca="false">'Mobility &amp; Emissions'!$B$21*B147*F147</f>
        <v>81.8389583997422</v>
      </c>
    </row>
    <row r="148" customFormat="false" ht="15" hidden="false" customHeight="true" outlineLevel="0" collapsed="false">
      <c r="A148" s="14" t="n">
        <v>144</v>
      </c>
      <c r="B148" s="47" t="n">
        <v>0.885379314858278</v>
      </c>
      <c r="C148" s="47" t="n">
        <v>0.987329017208612</v>
      </c>
      <c r="D148" s="47" t="n">
        <v>1.07707299227709</v>
      </c>
      <c r="E148" s="47" t="n">
        <v>0.983292069617603</v>
      </c>
      <c r="F148" s="47" t="n">
        <v>0.997198845104165</v>
      </c>
      <c r="G148" s="27" t="n">
        <f aca="false">'Visitor Economics'!$B$5*B148</f>
        <v>28509.2139384366</v>
      </c>
      <c r="H148" s="29" t="n">
        <f aca="false">MAX(0,'Visitor Economics'!$B$18*B148*C148*D148)</f>
        <v>681288.530868206</v>
      </c>
      <c r="I148" s="29" t="n">
        <f aca="false">H148*Controls!$B$52</f>
        <v>967429.713832853</v>
      </c>
      <c r="J148" s="29" t="n">
        <f aca="false">'City Fiscal'!$B$5+(H148*Controls!$B$56*Controls!$B$55)+('City Fiscal'!$B$9*B148*F148)</f>
        <v>143053.938416917</v>
      </c>
      <c r="K148" s="29" t="n">
        <f aca="false">J148-('City Fiscal'!$B$13*E148)</f>
        <v>34891.8107589811</v>
      </c>
      <c r="L148" s="30" t="n">
        <f aca="false">'Mobility &amp; Emissions'!$B$21*B148*F148</f>
        <v>82.4024860884645</v>
      </c>
    </row>
    <row r="149" customFormat="false" ht="15" hidden="false" customHeight="true" outlineLevel="0" collapsed="false">
      <c r="A149" s="14" t="n">
        <v>145</v>
      </c>
      <c r="B149" s="47" t="n">
        <v>0.939129733523377</v>
      </c>
      <c r="C149" s="47" t="n">
        <v>1.08970148518491</v>
      </c>
      <c r="D149" s="47" t="n">
        <v>0.937694958701919</v>
      </c>
      <c r="E149" s="47" t="n">
        <v>0.950639580525965</v>
      </c>
      <c r="F149" s="47" t="n">
        <v>0.903874854988204</v>
      </c>
      <c r="G149" s="27" t="n">
        <f aca="false">'Visitor Economics'!$B$5*B149</f>
        <v>30239.9774194527</v>
      </c>
      <c r="H149" s="29" t="n">
        <f aca="false">MAX(0,'Visitor Economics'!$B$18*B149*C149*D149)</f>
        <v>694367.498301805</v>
      </c>
      <c r="I149" s="29" t="n">
        <f aca="false">H149*Controls!$B$52</f>
        <v>986001.847588563</v>
      </c>
      <c r="J149" s="29" t="n">
        <f aca="false">'City Fiscal'!$B$5+(H149*Controls!$B$56*Controls!$B$55)+('City Fiscal'!$B$9*B149*F149)</f>
        <v>139528.081344985</v>
      </c>
      <c r="K149" s="29" t="n">
        <f aca="false">J149-('City Fiscal'!$B$13*E149)</f>
        <v>34957.7274871288</v>
      </c>
      <c r="L149" s="30" t="n">
        <f aca="false">'Mobility &amp; Emissions'!$B$21*B149*F149</f>
        <v>79.2251503612705</v>
      </c>
    </row>
    <row r="150" customFormat="false" ht="15" hidden="false" customHeight="true" outlineLevel="0" collapsed="false">
      <c r="A150" s="14" t="n">
        <v>146</v>
      </c>
      <c r="B150" s="47" t="n">
        <v>0.895422701406612</v>
      </c>
      <c r="C150" s="47" t="n">
        <v>1.01933222958663</v>
      </c>
      <c r="D150" s="47" t="n">
        <v>0.954503008570053</v>
      </c>
      <c r="E150" s="47" t="n">
        <v>1.02582094210208</v>
      </c>
      <c r="F150" s="47" t="n">
        <v>0.976303206610125</v>
      </c>
      <c r="G150" s="27" t="n">
        <f aca="false">'Visitor Economics'!$B$5*B150</f>
        <v>28832.6109852929</v>
      </c>
      <c r="H150" s="29" t="n">
        <f aca="false">MAX(0,'Visitor Economics'!$B$18*B150*C150*D150)</f>
        <v>630399.453542888</v>
      </c>
      <c r="I150" s="29" t="n">
        <f aca="false">H150*Controls!$B$52</f>
        <v>895167.224030901</v>
      </c>
      <c r="J150" s="29" t="n">
        <f aca="false">'City Fiscal'!$B$5+(H150*Controls!$B$56*Controls!$B$55)+('City Fiscal'!$B$9*B150*F150)</f>
        <v>141801.977740575</v>
      </c>
      <c r="K150" s="29" t="n">
        <f aca="false">J150-('City Fiscal'!$B$13*E150)</f>
        <v>28961.6741093463</v>
      </c>
      <c r="L150" s="30" t="n">
        <f aca="false">'Mobility &amp; Emissions'!$B$21*B150*F150</f>
        <v>81.5909505678231</v>
      </c>
    </row>
    <row r="151" customFormat="false" ht="15" hidden="false" customHeight="true" outlineLevel="0" collapsed="false">
      <c r="A151" s="14" t="n">
        <v>147</v>
      </c>
      <c r="B151" s="47" t="n">
        <v>0.904794230635875</v>
      </c>
      <c r="C151" s="47" t="n">
        <v>0.888344714499367</v>
      </c>
      <c r="D151" s="47" t="n">
        <v>1.00151207272787</v>
      </c>
      <c r="E151" s="47" t="n">
        <v>1.03115930451582</v>
      </c>
      <c r="F151" s="47" t="n">
        <v>0.950287087902681</v>
      </c>
      <c r="G151" s="27" t="n">
        <f aca="false">'Visitor Economics'!$B$5*B151</f>
        <v>29134.3742264752</v>
      </c>
      <c r="H151" s="29" t="n">
        <f aca="false">MAX(0,'Visitor Economics'!$B$18*B151*C151*D151)</f>
        <v>582481.590369911</v>
      </c>
      <c r="I151" s="29" t="n">
        <f aca="false">H151*Controls!$B$52</f>
        <v>827123.858325273</v>
      </c>
      <c r="J151" s="29" t="n">
        <f aca="false">'City Fiscal'!$B$5+(H151*Controls!$B$56*Controls!$B$55)+('City Fiscal'!$B$9*B151*F151)</f>
        <v>139965.307899933</v>
      </c>
      <c r="K151" s="29" t="n">
        <f aca="false">J151-('City Fiscal'!$B$13*E151)</f>
        <v>26537.7844031925</v>
      </c>
      <c r="L151" s="30" t="n">
        <f aca="false">'Mobility &amp; Emissions'!$B$21*B151*F151</f>
        <v>80.2479279310154</v>
      </c>
    </row>
    <row r="152" customFormat="false" ht="15" hidden="false" customHeight="true" outlineLevel="0" collapsed="false">
      <c r="A152" s="14" t="n">
        <v>148</v>
      </c>
      <c r="B152" s="47" t="n">
        <v>0.894985216441071</v>
      </c>
      <c r="C152" s="47" t="n">
        <v>0.949903810567666</v>
      </c>
      <c r="D152" s="47" t="n">
        <v>1.01637904631647</v>
      </c>
      <c r="E152" s="47" t="n">
        <v>1.16608784355053</v>
      </c>
      <c r="F152" s="47" t="n">
        <v>0.966865307084695</v>
      </c>
      <c r="G152" s="27" t="n">
        <f aca="false">'Visitor Economics'!$B$5*B152</f>
        <v>28818.5239694025</v>
      </c>
      <c r="H152" s="29" t="n">
        <f aca="false">MAX(0,'Visitor Economics'!$B$18*B152*C152*D152)</f>
        <v>625238.7182223</v>
      </c>
      <c r="I152" s="29" t="n">
        <f aca="false">H152*Controls!$B$52</f>
        <v>887838.979875665</v>
      </c>
      <c r="J152" s="29" t="n">
        <f aca="false">'City Fiscal'!$B$5+(H152*Controls!$B$56*Controls!$B$55)+('City Fiscal'!$B$9*B152*F152)</f>
        <v>140827.381590592</v>
      </c>
      <c r="K152" s="29" t="n">
        <f aca="false">J152-('City Fiscal'!$B$13*E152)</f>
        <v>12557.7188000341</v>
      </c>
      <c r="L152" s="30" t="n">
        <f aca="false">'Mobility &amp; Emissions'!$B$21*B152*F152</f>
        <v>80.7627345329304</v>
      </c>
    </row>
    <row r="153" customFormat="false" ht="15" hidden="false" customHeight="true" outlineLevel="0" collapsed="false">
      <c r="A153" s="14" t="n">
        <v>149</v>
      </c>
      <c r="B153" s="47" t="n">
        <v>0.882305425076093</v>
      </c>
      <c r="C153" s="47" t="n">
        <v>0.996439791430391</v>
      </c>
      <c r="D153" s="47" t="n">
        <v>0.994385867071503</v>
      </c>
      <c r="E153" s="47" t="n">
        <v>0.861731283229731</v>
      </c>
      <c r="F153" s="47" t="n">
        <v>0.9629491035821</v>
      </c>
      <c r="G153" s="27" t="n">
        <f aca="false">'Visitor Economics'!$B$5*B153</f>
        <v>28410.2346874502</v>
      </c>
      <c r="H153" s="29" t="n">
        <f aca="false">MAX(0,'Visitor Economics'!$B$18*B153*C153*D153)</f>
        <v>632586.070417437</v>
      </c>
      <c r="I153" s="29" t="n">
        <f aca="false">H153*Controls!$B$52</f>
        <v>898272.219992761</v>
      </c>
      <c r="J153" s="29" t="n">
        <f aca="false">'City Fiscal'!$B$5+(H153*Controls!$B$56*Controls!$B$55)+('City Fiscal'!$B$9*B153*F153)</f>
        <v>139208.285755613</v>
      </c>
      <c r="K153" s="29" t="n">
        <f aca="false">J153-('City Fiscal'!$B$13*E153)</f>
        <v>44417.8446003423</v>
      </c>
      <c r="L153" s="30" t="n">
        <f aca="false">'Mobility &amp; Emissions'!$B$21*B153*F153</f>
        <v>79.2960326569908</v>
      </c>
    </row>
    <row r="154" customFormat="false" ht="15" hidden="false" customHeight="true" outlineLevel="0" collapsed="false">
      <c r="A154" s="14" t="n">
        <v>150</v>
      </c>
      <c r="B154" s="47" t="n">
        <v>0.932432882884042</v>
      </c>
      <c r="C154" s="47" t="n">
        <v>0.957575433853577</v>
      </c>
      <c r="D154" s="47" t="n">
        <v>0.890224770355851</v>
      </c>
      <c r="E154" s="47" t="n">
        <v>0.889552138716218</v>
      </c>
      <c r="F154" s="47" t="n">
        <v>1.03122500263103</v>
      </c>
      <c r="G154" s="27" t="n">
        <f aca="false">'Visitor Economics'!$B$5*B154</f>
        <v>30024.3388288662</v>
      </c>
      <c r="H154" s="29" t="n">
        <f aca="false">MAX(0,'Visitor Economics'!$B$18*B154*C154*D154)</f>
        <v>575155.027790725</v>
      </c>
      <c r="I154" s="29" t="n">
        <f aca="false">H154*Controls!$B$52</f>
        <v>816720.139462829</v>
      </c>
      <c r="J154" s="29" t="n">
        <f aca="false">'City Fiscal'!$B$5+(H154*Controls!$B$56*Controls!$B$55)+('City Fiscal'!$B$9*B154*F154)</f>
        <v>150707.59435425</v>
      </c>
      <c r="K154" s="29" t="n">
        <f aca="false">J154-('City Fiscal'!$B$13*E154)</f>
        <v>52856.8590954663</v>
      </c>
      <c r="L154" s="30" t="n">
        <f aca="false">'Mobility &amp; Emissions'!$B$21*B154*F154</f>
        <v>89.7429190012664</v>
      </c>
    </row>
    <row r="155" customFormat="false" ht="15" hidden="false" customHeight="true" outlineLevel="0" collapsed="false">
      <c r="A155" s="14" t="n">
        <v>151</v>
      </c>
      <c r="B155" s="47" t="n">
        <v>0.941692912198193</v>
      </c>
      <c r="C155" s="47" t="n">
        <v>1.05551744421939</v>
      </c>
      <c r="D155" s="47" t="n">
        <v>0.861030241268307</v>
      </c>
      <c r="E155" s="47" t="n">
        <v>0.853500746260345</v>
      </c>
      <c r="F155" s="47" t="n">
        <v>0.96971841963541</v>
      </c>
      <c r="G155" s="27" t="n">
        <f aca="false">'Visitor Economics'!$B$5*B155</f>
        <v>30322.5117727818</v>
      </c>
      <c r="H155" s="29" t="n">
        <f aca="false">MAX(0,'Visitor Economics'!$B$18*B155*C155*D155)</f>
        <v>619281.050944229</v>
      </c>
      <c r="I155" s="29" t="n">
        <f aca="false">H155*Controls!$B$52</f>
        <v>879379.092340805</v>
      </c>
      <c r="J155" s="29" t="n">
        <f aca="false">'City Fiscal'!$B$5+(H155*Controls!$B$56*Controls!$B$55)+('City Fiscal'!$B$9*B155*F155)</f>
        <v>145863.348392133</v>
      </c>
      <c r="K155" s="29" t="n">
        <f aca="false">J155-('City Fiscal'!$B$13*E155)</f>
        <v>51978.2663034954</v>
      </c>
      <c r="L155" s="30" t="n">
        <f aca="false">'Mobility &amp; Emissions'!$B$21*B155*F155</f>
        <v>85.228358320173</v>
      </c>
    </row>
    <row r="156" customFormat="false" ht="15" hidden="false" customHeight="true" outlineLevel="0" collapsed="false">
      <c r="A156" s="14" t="n">
        <v>152</v>
      </c>
      <c r="B156" s="47" t="n">
        <v>0.976594931171579</v>
      </c>
      <c r="C156" s="47" t="n">
        <v>0.991630416884654</v>
      </c>
      <c r="D156" s="47" t="n">
        <v>1.10117543885501</v>
      </c>
      <c r="E156" s="47" t="n">
        <v>1.10503017555367</v>
      </c>
      <c r="F156" s="47" t="n">
        <v>0.979817179140513</v>
      </c>
      <c r="G156" s="27" t="n">
        <f aca="false">'Visitor Economics'!$B$5*B156</f>
        <v>31446.3567837248</v>
      </c>
      <c r="H156" s="29" t="n">
        <f aca="false">MAX(0,'Visitor Economics'!$B$18*B156*C156*D156)</f>
        <v>771641.348276417</v>
      </c>
      <c r="I156" s="29" t="n">
        <f aca="false">H156*Controls!$B$52</f>
        <v>1095730.71455251</v>
      </c>
      <c r="J156" s="29" t="n">
        <f aca="false">'City Fiscal'!$B$5+(H156*Controls!$B$56*Controls!$B$55)+('City Fiscal'!$B$9*B156*F156)</f>
        <v>151486.208906742</v>
      </c>
      <c r="K156" s="29" t="n">
        <f aca="false">J156-('City Fiscal'!$B$13*E156)</f>
        <v>29932.8895958384</v>
      </c>
      <c r="L156" s="30" t="n">
        <f aca="false">'Mobility &amp; Emissions'!$B$21*B156*F156</f>
        <v>89.3076562135216</v>
      </c>
    </row>
    <row r="157" customFormat="false" ht="15" hidden="false" customHeight="true" outlineLevel="0" collapsed="false">
      <c r="A157" s="14" t="n">
        <v>153</v>
      </c>
      <c r="B157" s="47" t="n">
        <v>0.904524696345745</v>
      </c>
      <c r="C157" s="47" t="n">
        <v>0.999474232133752</v>
      </c>
      <c r="D157" s="47" t="n">
        <v>0.982989901226637</v>
      </c>
      <c r="E157" s="47" t="n">
        <v>0.960901029094893</v>
      </c>
      <c r="F157" s="47" t="n">
        <v>1.02316349106034</v>
      </c>
      <c r="G157" s="27" t="n">
        <f aca="false">'Visitor Economics'!$B$5*B157</f>
        <v>29125.695222333</v>
      </c>
      <c r="H157" s="29" t="n">
        <f aca="false">MAX(0,'Visitor Economics'!$B$18*B157*C157*D157)</f>
        <v>643036.694682361</v>
      </c>
      <c r="I157" s="29" t="n">
        <f aca="false">H157*Controls!$B$52</f>
        <v>913112.106448952</v>
      </c>
      <c r="J157" s="29" t="n">
        <f aca="false">'City Fiscal'!$B$5+(H157*Controls!$B$56*Controls!$B$55)+('City Fiscal'!$B$9*B157*F157)</f>
        <v>147321.774017219</v>
      </c>
      <c r="K157" s="29" t="n">
        <f aca="false">J157-('City Fiscal'!$B$13*E157)</f>
        <v>41622.6608167808</v>
      </c>
      <c r="L157" s="30" t="n">
        <f aca="false">'Mobility &amp; Emissions'!$B$21*B157*F157</f>
        <v>86.376308687396</v>
      </c>
    </row>
    <row r="158" customFormat="false" ht="15" hidden="false" customHeight="true" outlineLevel="0" collapsed="false">
      <c r="A158" s="14" t="n">
        <v>154</v>
      </c>
      <c r="B158" s="47" t="n">
        <v>0.912499056600415</v>
      </c>
      <c r="C158" s="47" t="n">
        <v>0.988934898703613</v>
      </c>
      <c r="D158" s="47" t="n">
        <v>0.951213025205444</v>
      </c>
      <c r="E158" s="47" t="n">
        <v>1.04828547399852</v>
      </c>
      <c r="F158" s="47" t="n">
        <v>1.01608771527601</v>
      </c>
      <c r="G158" s="27" t="n">
        <f aca="false">'Visitor Economics'!$B$5*B158</f>
        <v>29382.4696225334</v>
      </c>
      <c r="H158" s="29" t="n">
        <f aca="false">MAX(0,'Visitor Economics'!$B$18*B158*C158*D158)</f>
        <v>621115.811873181</v>
      </c>
      <c r="I158" s="29" t="n">
        <f aca="false">H158*Controls!$B$52</f>
        <v>881984.452859917</v>
      </c>
      <c r="J158" s="29" t="n">
        <f aca="false">'City Fiscal'!$B$5+(H158*Controls!$B$56*Controls!$B$55)+('City Fiscal'!$B$9*B158*F158)</f>
        <v>147360.284882922</v>
      </c>
      <c r="K158" s="29" t="n">
        <f aca="false">J158-('City Fiscal'!$B$13*E158)</f>
        <v>32048.8827430846</v>
      </c>
      <c r="L158" s="30" t="n">
        <f aca="false">'Mobility &amp; Emissions'!$B$21*B158*F158</f>
        <v>86.5351998913455</v>
      </c>
    </row>
    <row r="159" customFormat="false" ht="15" hidden="false" customHeight="true" outlineLevel="0" collapsed="false">
      <c r="A159" s="14" t="n">
        <v>155</v>
      </c>
      <c r="B159" s="47" t="n">
        <v>0.92595745643593</v>
      </c>
      <c r="C159" s="47" t="n">
        <v>0.988133875230425</v>
      </c>
      <c r="D159" s="47" t="n">
        <v>0.965419793981117</v>
      </c>
      <c r="E159" s="47" t="n">
        <v>1.17002344093423</v>
      </c>
      <c r="F159" s="47" t="n">
        <v>1.08797178061559</v>
      </c>
      <c r="G159" s="27" t="n">
        <f aca="false">'Visitor Economics'!$B$5*B159</f>
        <v>29815.8300972369</v>
      </c>
      <c r="H159" s="29" t="n">
        <f aca="false">MAX(0,'Visitor Economics'!$B$18*B159*C159*D159)</f>
        <v>639171.923556176</v>
      </c>
      <c r="I159" s="29" t="n">
        <f aca="false">H159*Controls!$B$52</f>
        <v>907624.13144977</v>
      </c>
      <c r="J159" s="29" t="n">
        <f aca="false">'City Fiscal'!$B$5+(H159*Controls!$B$56*Controls!$B$55)+('City Fiscal'!$B$9*B159*F159)</f>
        <v>155987.07149133</v>
      </c>
      <c r="K159" s="29" t="n">
        <f aca="false">J159-('City Fiscal'!$B$13*E159)</f>
        <v>27284.492988565</v>
      </c>
      <c r="L159" s="30" t="n">
        <f aca="false">'Mobility &amp; Emissions'!$B$21*B159*F159</f>
        <v>94.0238089354839</v>
      </c>
    </row>
    <row r="160" customFormat="false" ht="15" hidden="false" customHeight="true" outlineLevel="0" collapsed="false">
      <c r="A160" s="14" t="n">
        <v>156</v>
      </c>
      <c r="B160" s="47" t="n">
        <v>0.908377568134001</v>
      </c>
      <c r="C160" s="47" t="n">
        <v>0.911929320676267</v>
      </c>
      <c r="D160" s="47" t="n">
        <v>0.96033108439756</v>
      </c>
      <c r="E160" s="47" t="n">
        <v>0.983054898730458</v>
      </c>
      <c r="F160" s="47" t="n">
        <v>0.956595028026639</v>
      </c>
      <c r="G160" s="27" t="n">
        <f aca="false">'Visitor Economics'!$B$5*B160</f>
        <v>29249.7576939148</v>
      </c>
      <c r="H160" s="29" t="n">
        <f aca="false">MAX(0,'Visitor Economics'!$B$18*B160*C160*D160)</f>
        <v>575629.75709275</v>
      </c>
      <c r="I160" s="29" t="n">
        <f aca="false">H160*Controls!$B$52</f>
        <v>817394.255071705</v>
      </c>
      <c r="J160" s="29" t="n">
        <f aca="false">'City Fiscal'!$B$5+(H160*Controls!$B$56*Controls!$B$55)+('City Fiscal'!$B$9*B160*F160)</f>
        <v>140889.774923323</v>
      </c>
      <c r="K160" s="29" t="n">
        <f aca="false">J160-('City Fiscal'!$B$13*E160)</f>
        <v>32753.7360629729</v>
      </c>
      <c r="L160" s="30" t="n">
        <f aca="false">'Mobility &amp; Emissions'!$B$21*B160*F160</f>
        <v>81.1005308056788</v>
      </c>
    </row>
    <row r="161" customFormat="false" ht="15" hidden="false" customHeight="true" outlineLevel="0" collapsed="false">
      <c r="A161" s="14" t="n">
        <v>157</v>
      </c>
      <c r="B161" s="47" t="n">
        <v>0.861048133846499</v>
      </c>
      <c r="C161" s="47" t="n">
        <v>1.02484749083708</v>
      </c>
      <c r="D161" s="47" t="n">
        <v>1.13451731731554</v>
      </c>
      <c r="E161" s="47" t="n">
        <v>1.07146779002096</v>
      </c>
      <c r="F161" s="47" t="n">
        <v>1.00310718193186</v>
      </c>
      <c r="G161" s="27" t="n">
        <f aca="false">'Visitor Economics'!$B$5*B161</f>
        <v>27725.7499098573</v>
      </c>
      <c r="H161" s="29" t="n">
        <f aca="false">MAX(0,'Visitor Economics'!$B$18*B161*C161*D161)</f>
        <v>724423.401092578</v>
      </c>
      <c r="I161" s="29" t="n">
        <f aca="false">H161*Controls!$B$52</f>
        <v>1028681.22955146</v>
      </c>
      <c r="J161" s="29" t="n">
        <f aca="false">'City Fiscal'!$B$5+(H161*Controls!$B$56*Controls!$B$55)+('City Fiscal'!$B$9*B161*F161)</f>
        <v>141299.705505992</v>
      </c>
      <c r="K161" s="29" t="n">
        <f aca="false">J161-('City Fiscal'!$B$13*E161)</f>
        <v>23438.2486036861</v>
      </c>
      <c r="L161" s="30" t="n">
        <f aca="false">'Mobility &amp; Emissions'!$B$21*B161*F161</f>
        <v>80.6127888428824</v>
      </c>
    </row>
    <row r="162" customFormat="false" ht="15" hidden="false" customHeight="true" outlineLevel="0" collapsed="false">
      <c r="A162" s="14" t="n">
        <v>158</v>
      </c>
      <c r="B162" s="47" t="n">
        <v>0.872835338099239</v>
      </c>
      <c r="C162" s="47" t="n">
        <v>0.878557663887829</v>
      </c>
      <c r="D162" s="47" t="n">
        <v>1.19419901434562</v>
      </c>
      <c r="E162" s="47" t="n">
        <v>0.900392163797226</v>
      </c>
      <c r="F162" s="47" t="n">
        <v>0.962149453855112</v>
      </c>
      <c r="G162" s="27" t="n">
        <f aca="false">'Visitor Economics'!$B$5*B162</f>
        <v>28105.2978867955</v>
      </c>
      <c r="H162" s="29" t="n">
        <f aca="false">MAX(0,'Visitor Economics'!$B$18*B162*C162*D162)</f>
        <v>662634.388488459</v>
      </c>
      <c r="I162" s="29" t="n">
        <f aca="false">H162*Controls!$B$52</f>
        <v>940940.831653612</v>
      </c>
      <c r="J162" s="29" t="n">
        <f aca="false">'City Fiscal'!$B$5+(H162*Controls!$B$56*Controls!$B$55)+('City Fiscal'!$B$9*B162*F162)</f>
        <v>138361.80162139</v>
      </c>
      <c r="K162" s="29" t="n">
        <f aca="false">J162-('City Fiscal'!$B$13*E162)</f>
        <v>39318.6636036952</v>
      </c>
      <c r="L162" s="30" t="n">
        <f aca="false">'Mobility &amp; Emissions'!$B$21*B162*F162</f>
        <v>78.3797790899067</v>
      </c>
    </row>
    <row r="163" customFormat="false" ht="15" hidden="false" customHeight="true" outlineLevel="0" collapsed="false">
      <c r="A163" s="14" t="n">
        <v>159</v>
      </c>
      <c r="B163" s="47" t="n">
        <v>0.934232873430434</v>
      </c>
      <c r="C163" s="47" t="n">
        <v>0.917349884437528</v>
      </c>
      <c r="D163" s="47" t="n">
        <v>1.16227172633637</v>
      </c>
      <c r="E163" s="47" t="n">
        <v>0.962539468218455</v>
      </c>
      <c r="F163" s="47" t="n">
        <v>0.964138074278481</v>
      </c>
      <c r="G163" s="27" t="n">
        <f aca="false">'Visitor Economics'!$B$5*B163</f>
        <v>30082.29852446</v>
      </c>
      <c r="H163" s="29" t="n">
        <f aca="false">MAX(0,'Visitor Economics'!$B$18*B163*C163*D163)</f>
        <v>720763.023398781</v>
      </c>
      <c r="I163" s="29" t="n">
        <f aca="false">H163*Controls!$B$52</f>
        <v>1023483.49322627</v>
      </c>
      <c r="J163" s="29" t="n">
        <f aca="false">'City Fiscal'!$B$5+(H163*Controls!$B$56*Controls!$B$55)+('City Fiscal'!$B$9*B163*F163)</f>
        <v>145200.787501569</v>
      </c>
      <c r="K163" s="29" t="n">
        <f aca="false">J163-('City Fiscal'!$B$13*E163)</f>
        <v>39321.445997539</v>
      </c>
      <c r="L163" s="30" t="n">
        <f aca="false">'Mobility &amp; Emissions'!$B$21*B163*F163</f>
        <v>84.0666139367515</v>
      </c>
    </row>
    <row r="164" customFormat="false" ht="15" hidden="false" customHeight="true" outlineLevel="0" collapsed="false">
      <c r="A164" s="14" t="n">
        <v>160</v>
      </c>
      <c r="B164" s="47" t="n">
        <v>0.941082321372205</v>
      </c>
      <c r="C164" s="47" t="n">
        <v>1.04234692536673</v>
      </c>
      <c r="D164" s="47" t="n">
        <v>1.16638630494949</v>
      </c>
      <c r="E164" s="47" t="n">
        <v>1.11186510216459</v>
      </c>
      <c r="F164" s="47" t="n">
        <v>1.1219375695992</v>
      </c>
      <c r="G164" s="27" t="n">
        <f aca="false">'Visitor Economics'!$B$5*B164</f>
        <v>30302.850748185</v>
      </c>
      <c r="H164" s="29" t="n">
        <f aca="false">MAX(0,'Visitor Economics'!$B$18*B164*C164*D164)</f>
        <v>827898.291022557</v>
      </c>
      <c r="I164" s="29" t="n">
        <f aca="false">H164*Controls!$B$52</f>
        <v>1175615.57325203</v>
      </c>
      <c r="J164" s="29" t="n">
        <f aca="false">'City Fiscal'!$B$5+(H164*Controls!$B$56*Controls!$B$55)+('City Fiscal'!$B$9*B164*F164)</f>
        <v>162345.386185966</v>
      </c>
      <c r="K164" s="29" t="n">
        <f aca="false">J164-('City Fiscal'!$B$13*E164)</f>
        <v>40040.2249478609</v>
      </c>
      <c r="L164" s="30" t="n">
        <f aca="false">'Mobility &amp; Emissions'!$B$21*B164*F164</f>
        <v>98.5429326289228</v>
      </c>
    </row>
    <row r="165" customFormat="false" ht="15" hidden="false" customHeight="true" outlineLevel="0" collapsed="false">
      <c r="A165" s="14" t="n">
        <v>161</v>
      </c>
      <c r="B165" s="47" t="n">
        <v>0.919298241194927</v>
      </c>
      <c r="C165" s="47" t="n">
        <v>1.06167333371433</v>
      </c>
      <c r="D165" s="47" t="n">
        <v>1.03252873753068</v>
      </c>
      <c r="E165" s="47" t="n">
        <v>0.951230712868596</v>
      </c>
      <c r="F165" s="47" t="n">
        <v>1.01326119789906</v>
      </c>
      <c r="G165" s="27" t="n">
        <f aca="false">'Visitor Economics'!$B$5*B165</f>
        <v>29601.4033664767</v>
      </c>
      <c r="H165" s="29" t="n">
        <f aca="false">MAX(0,'Visitor Economics'!$B$18*B165*C165*D165)</f>
        <v>729195.795499816</v>
      </c>
      <c r="I165" s="29" t="n">
        <f aca="false">H165*Controls!$B$52</f>
        <v>1035458.02960974</v>
      </c>
      <c r="J165" s="29" t="n">
        <f aca="false">'City Fiscal'!$B$5+(H165*Controls!$B$56*Controls!$B$55)+('City Fiscal'!$B$9*B165*F165)</f>
        <v>148517.772880084</v>
      </c>
      <c r="K165" s="29" t="n">
        <f aca="false">J165-('City Fiscal'!$B$13*E165)</f>
        <v>43882.394464538</v>
      </c>
      <c r="L165" s="30" t="n">
        <f aca="false">'Mobility &amp; Emissions'!$B$21*B165*F165</f>
        <v>86.9374740302154</v>
      </c>
    </row>
    <row r="166" customFormat="false" ht="15" hidden="false" customHeight="true" outlineLevel="0" collapsed="false">
      <c r="A166" s="14" t="n">
        <v>162</v>
      </c>
      <c r="B166" s="47" t="n">
        <v>0.852746133917893</v>
      </c>
      <c r="C166" s="47" t="n">
        <v>0.975103191456527</v>
      </c>
      <c r="D166" s="47" t="n">
        <v>0.837969819734065</v>
      </c>
      <c r="E166" s="47" t="n">
        <v>0.97148960360368</v>
      </c>
      <c r="F166" s="47" t="n">
        <v>0.973237575438662</v>
      </c>
      <c r="G166" s="27" t="n">
        <f aca="false">'Visitor Economics'!$B$5*B166</f>
        <v>27458.4255121562</v>
      </c>
      <c r="H166" s="29" t="n">
        <f aca="false">MAX(0,'Visitor Economics'!$B$18*B166*C166*D166)</f>
        <v>504189.020432656</v>
      </c>
      <c r="I166" s="29" t="n">
        <f aca="false">H166*Controls!$B$52</f>
        <v>715948.409014371</v>
      </c>
      <c r="J166" s="29" t="n">
        <f aca="false">'City Fiscal'!$B$5+(H166*Controls!$B$56*Controls!$B$55)+('City Fiscal'!$B$9*B166*F166)</f>
        <v>136287.908384397</v>
      </c>
      <c r="K166" s="29" t="n">
        <f aca="false">J166-('City Fiscal'!$B$13*E166)</f>
        <v>29424.0519879923</v>
      </c>
      <c r="L166" s="30" t="n">
        <f aca="false">'Mobility &amp; Emissions'!$B$21*B166*F166</f>
        <v>77.4582719081543</v>
      </c>
    </row>
    <row r="167" customFormat="false" ht="15" hidden="false" customHeight="true" outlineLevel="0" collapsed="false">
      <c r="A167" s="14" t="n">
        <v>163</v>
      </c>
      <c r="B167" s="47" t="n">
        <v>0.923563492390071</v>
      </c>
      <c r="C167" s="47" t="n">
        <v>1.01427393887976</v>
      </c>
      <c r="D167" s="47" t="n">
        <v>1.02745506071807</v>
      </c>
      <c r="E167" s="47" t="n">
        <v>0.859833403068279</v>
      </c>
      <c r="F167" s="47" t="n">
        <v>1.02052992623776</v>
      </c>
      <c r="G167" s="27" t="n">
        <f aca="false">'Visitor Economics'!$B$5*B167</f>
        <v>29738.7444549603</v>
      </c>
      <c r="H167" s="29" t="n">
        <f aca="false">MAX(0,'Visitor Economics'!$B$18*B167*C167*D167)</f>
        <v>696433.300710969</v>
      </c>
      <c r="I167" s="29" t="n">
        <f aca="false">H167*Controls!$B$52</f>
        <v>988935.287009576</v>
      </c>
      <c r="J167" s="29" t="n">
        <f aca="false">'City Fiscal'!$B$5+(H167*Controls!$B$56*Controls!$B$55)+('City Fiscal'!$B$9*B167*F167)</f>
        <v>149475.824457406</v>
      </c>
      <c r="K167" s="29" t="n">
        <f aca="false">J167-('City Fiscal'!$B$13*E167)</f>
        <v>54894.1501198949</v>
      </c>
      <c r="L167" s="30" t="n">
        <f aca="false">'Mobility &amp; Emissions'!$B$21*B167*F167</f>
        <v>87.9673842685427</v>
      </c>
    </row>
    <row r="168" customFormat="false" ht="15" hidden="false" customHeight="true" outlineLevel="0" collapsed="false">
      <c r="A168" s="14" t="n">
        <v>164</v>
      </c>
      <c r="B168" s="47" t="n">
        <v>0.894839017759645</v>
      </c>
      <c r="C168" s="47" t="n">
        <v>0.982748271880226</v>
      </c>
      <c r="D168" s="47" t="n">
        <v>0.881939688051318</v>
      </c>
      <c r="E168" s="47" t="n">
        <v>0.898442972916635</v>
      </c>
      <c r="F168" s="47" t="n">
        <v>1.0240535828219</v>
      </c>
      <c r="G168" s="27" t="n">
        <f aca="false">'Visitor Economics'!$B$5*B168</f>
        <v>28813.8163718606</v>
      </c>
      <c r="H168" s="29" t="n">
        <f aca="false">MAX(0,'Visitor Economics'!$B$18*B168*C168*D168)</f>
        <v>561203.999550783</v>
      </c>
      <c r="I168" s="29" t="n">
        <f aca="false">H168*Controls!$B$52</f>
        <v>796909.679362112</v>
      </c>
      <c r="J168" s="29" t="n">
        <f aca="false">'City Fiscal'!$B$5+(H168*Controls!$B$56*Controls!$B$55)+('City Fiscal'!$B$9*B168*F168)</f>
        <v>145824.927081015</v>
      </c>
      <c r="K168" s="29" t="n">
        <f aca="false">J168-('City Fiscal'!$B$13*E168)</f>
        <v>46996.2000601856</v>
      </c>
      <c r="L168" s="30" t="n">
        <f aca="false">'Mobility &amp; Emissions'!$B$21*B168*F168</f>
        <v>85.5257261442552</v>
      </c>
    </row>
    <row r="169" customFormat="false" ht="15" hidden="false" customHeight="true" outlineLevel="0" collapsed="false">
      <c r="A169" s="14" t="n">
        <v>165</v>
      </c>
      <c r="B169" s="47" t="n">
        <v>0.992944501483063</v>
      </c>
      <c r="C169" s="47" t="n">
        <v>0.941749743326218</v>
      </c>
      <c r="D169" s="47" t="n">
        <v>0.944120991954107</v>
      </c>
      <c r="E169" s="47" t="n">
        <v>1.0738927883362</v>
      </c>
      <c r="F169" s="47" t="n">
        <v>1.04859733731307</v>
      </c>
      <c r="G169" s="27" t="n">
        <f aca="false">'Visitor Economics'!$B$5*B169</f>
        <v>31972.8129477546</v>
      </c>
      <c r="H169" s="29" t="n">
        <f aca="false">MAX(0,'Visitor Economics'!$B$18*B169*C169*D169)</f>
        <v>638826.33219027</v>
      </c>
      <c r="I169" s="29" t="n">
        <f aca="false">H169*Controls!$B$52</f>
        <v>907133.391710183</v>
      </c>
      <c r="J169" s="29" t="n">
        <f aca="false">'City Fiscal'!$B$5+(H169*Controls!$B$56*Controls!$B$55)+('City Fiscal'!$B$9*B169*F169)</f>
        <v>159567.854869122</v>
      </c>
      <c r="K169" s="29" t="n">
        <f aca="false">J169-('City Fiscal'!$B$13*E169)</f>
        <v>41439.6481521399</v>
      </c>
      <c r="L169" s="30" t="n">
        <f aca="false">'Mobility &amp; Emissions'!$B$21*B169*F169</f>
        <v>97.1768690081455</v>
      </c>
    </row>
    <row r="170" customFormat="false" ht="15" hidden="false" customHeight="true" outlineLevel="0" collapsed="false">
      <c r="A170" s="14" t="n">
        <v>166</v>
      </c>
      <c r="B170" s="47" t="n">
        <v>0.933536134715131</v>
      </c>
      <c r="C170" s="47" t="n">
        <v>1.03589292538674</v>
      </c>
      <c r="D170" s="47" t="n">
        <v>0.968461932495664</v>
      </c>
      <c r="E170" s="47" t="n">
        <v>1.03865608596413</v>
      </c>
      <c r="F170" s="47" t="n">
        <v>0.981880627842</v>
      </c>
      <c r="G170" s="27" t="n">
        <f aca="false">'Visitor Economics'!$B$5*B170</f>
        <v>30059.8635378272</v>
      </c>
      <c r="H170" s="29" t="n">
        <f aca="false">MAX(0,'Visitor Economics'!$B$18*B170*C170*D170)</f>
        <v>677677.745838829</v>
      </c>
      <c r="I170" s="29" t="n">
        <f aca="false">H170*Controls!$B$52</f>
        <v>962302.399091137</v>
      </c>
      <c r="J170" s="29" t="n">
        <f aca="false">'City Fiscal'!$B$5+(H170*Controls!$B$56*Controls!$B$55)+('City Fiscal'!$B$9*B170*F170)</f>
        <v>146607.034162624</v>
      </c>
      <c r="K170" s="29" t="n">
        <f aca="false">J170-('City Fiscal'!$B$13*E170)</f>
        <v>32354.8647065702</v>
      </c>
      <c r="L170" s="30" t="n">
        <f aca="false">'Mobility &amp; Emissions'!$B$21*B170*F170</f>
        <v>85.5498004852382</v>
      </c>
    </row>
    <row r="171" customFormat="false" ht="15" hidden="false" customHeight="true" outlineLevel="0" collapsed="false">
      <c r="A171" s="14" t="n">
        <v>167</v>
      </c>
      <c r="B171" s="47" t="n">
        <v>0.890210707283821</v>
      </c>
      <c r="C171" s="47" t="n">
        <v>1.01342608199001</v>
      </c>
      <c r="D171" s="47" t="n">
        <v>1.20872349336487</v>
      </c>
      <c r="E171" s="47" t="n">
        <v>0.969948991327051</v>
      </c>
      <c r="F171" s="47" t="n">
        <v>0.865732132722552</v>
      </c>
      <c r="G171" s="27" t="n">
        <f aca="false">'Visitor Economics'!$B$5*B171</f>
        <v>28664.784774539</v>
      </c>
      <c r="H171" s="29" t="n">
        <f aca="false">MAX(0,'Visitor Economics'!$B$18*B171*C171*D171)</f>
        <v>789053.633068798</v>
      </c>
      <c r="I171" s="29" t="n">
        <f aca="false">H171*Controls!$B$52</f>
        <v>1120456.15895769</v>
      </c>
      <c r="J171" s="29" t="n">
        <f aca="false">'City Fiscal'!$B$5+(H171*Controls!$B$56*Controls!$B$55)+('City Fiscal'!$B$9*B171*F171)</f>
        <v>131850.850732182</v>
      </c>
      <c r="K171" s="29" t="n">
        <f aca="false">J171-('City Fiscal'!$B$13*E171)</f>
        <v>25156.4616862069</v>
      </c>
      <c r="L171" s="30" t="n">
        <f aca="false">'Mobility &amp; Emissions'!$B$21*B171*F171</f>
        <v>71.9292492071091</v>
      </c>
    </row>
    <row r="172" customFormat="false" ht="15" hidden="false" customHeight="true" outlineLevel="0" collapsed="false">
      <c r="A172" s="14" t="n">
        <v>168</v>
      </c>
      <c r="B172" s="47" t="n">
        <v>0.953637359907852</v>
      </c>
      <c r="C172" s="47" t="n">
        <v>0.990683918398893</v>
      </c>
      <c r="D172" s="47" t="n">
        <v>0.956564719012605</v>
      </c>
      <c r="E172" s="47" t="n">
        <v>1.05396110079885</v>
      </c>
      <c r="F172" s="47" t="n">
        <v>1.02000961574024</v>
      </c>
      <c r="G172" s="27" t="n">
        <f aca="false">'Visitor Economics'!$B$5*B172</f>
        <v>30707.1229890328</v>
      </c>
      <c r="H172" s="29" t="n">
        <f aca="false">MAX(0,'Visitor Economics'!$B$18*B172*C172*D172)</f>
        <v>653924.182730547</v>
      </c>
      <c r="I172" s="29" t="n">
        <f aca="false">H172*Controls!$B$52</f>
        <v>928572.339477376</v>
      </c>
      <c r="J172" s="29" t="n">
        <f aca="false">'City Fiscal'!$B$5+(H172*Controls!$B$56*Controls!$B$55)+('City Fiscal'!$B$9*B172*F172)</f>
        <v>152402.819327345</v>
      </c>
      <c r="K172" s="29" t="n">
        <f aca="false">J172-('City Fiscal'!$B$13*E172)</f>
        <v>36467.0982394716</v>
      </c>
      <c r="L172" s="30" t="n">
        <f aca="false">'Mobility &amp; Emissions'!$B$21*B172*F172</f>
        <v>90.7855437484611</v>
      </c>
    </row>
    <row r="173" customFormat="false" ht="15" hidden="false" customHeight="true" outlineLevel="0" collapsed="false">
      <c r="A173" s="14" t="n">
        <v>169</v>
      </c>
      <c r="B173" s="47" t="n">
        <v>0.896148181216927</v>
      </c>
      <c r="C173" s="47" t="n">
        <v>0.901</v>
      </c>
      <c r="D173" s="47" t="n">
        <v>1.03306971165833</v>
      </c>
      <c r="E173" s="47" t="n">
        <v>0.934539512832909</v>
      </c>
      <c r="F173" s="47" t="n">
        <v>1.00052592197976</v>
      </c>
      <c r="G173" s="27" t="n">
        <f aca="false">'Visitor Economics'!$B$5*B173</f>
        <v>28855.9714351851</v>
      </c>
      <c r="H173" s="29" t="n">
        <f aca="false">MAX(0,'Visitor Economics'!$B$18*B173*C173*D173)</f>
        <v>603571.767293194</v>
      </c>
      <c r="I173" s="29" t="n">
        <f aca="false">H173*Controls!$B$52</f>
        <v>857071.909556336</v>
      </c>
      <c r="J173" s="29" t="n">
        <f aca="false">'City Fiscal'!$B$5+(H173*Controls!$B$56*Controls!$B$55)+('City Fiscal'!$B$9*B173*F173)</f>
        <v>144005.486882528</v>
      </c>
      <c r="K173" s="29" t="n">
        <f aca="false">J173-('City Fiscal'!$B$13*E173)</f>
        <v>41206.1404709083</v>
      </c>
      <c r="L173" s="30" t="n">
        <f aca="false">'Mobility &amp; Emissions'!$B$21*B173*F173</f>
        <v>83.6830208108122</v>
      </c>
    </row>
    <row r="174" customFormat="false" ht="15" hidden="false" customHeight="true" outlineLevel="0" collapsed="false">
      <c r="A174" s="14" t="n">
        <v>170</v>
      </c>
      <c r="B174" s="47" t="n">
        <v>0.835749439459065</v>
      </c>
      <c r="C174" s="47" t="n">
        <v>1.02260390151551</v>
      </c>
      <c r="D174" s="47" t="n">
        <v>0.992691090551532</v>
      </c>
      <c r="E174" s="47" t="n">
        <v>1.02798930205956</v>
      </c>
      <c r="F174" s="47" t="n">
        <v>0.944986841193925</v>
      </c>
      <c r="G174" s="27" t="n">
        <f aca="false">'Visitor Economics'!$B$5*B174</f>
        <v>26911.1319505819</v>
      </c>
      <c r="H174" s="29" t="n">
        <f aca="false">MAX(0,'Visitor Economics'!$B$18*B174*C174*D174)</f>
        <v>613892.507625485</v>
      </c>
      <c r="I174" s="29" t="n">
        <f aca="false">H174*Controls!$B$52</f>
        <v>871727.360828188</v>
      </c>
      <c r="J174" s="29" t="n">
        <f aca="false">'City Fiscal'!$B$5+(H174*Controls!$B$56*Controls!$B$55)+('City Fiscal'!$B$9*B174*F174)</f>
        <v>132740.27818685</v>
      </c>
      <c r="K174" s="29" t="n">
        <f aca="false">J174-('City Fiscal'!$B$13*E174)</f>
        <v>19661.4549602981</v>
      </c>
      <c r="L174" s="30" t="n">
        <f aca="false">'Mobility &amp; Emissions'!$B$21*B174*F174</f>
        <v>73.7107841689442</v>
      </c>
    </row>
    <row r="175" customFormat="false" ht="15" hidden="false" customHeight="true" outlineLevel="0" collapsed="false">
      <c r="A175" s="14" t="n">
        <v>171</v>
      </c>
      <c r="B175" s="47" t="n">
        <v>0.975502809077426</v>
      </c>
      <c r="C175" s="47" t="n">
        <v>1.01393398282202</v>
      </c>
      <c r="D175" s="47" t="n">
        <v>0.91997964137688</v>
      </c>
      <c r="E175" s="47" t="n">
        <v>1.05867893477194</v>
      </c>
      <c r="F175" s="47" t="n">
        <v>0.901307894129461</v>
      </c>
      <c r="G175" s="27" t="n">
        <f aca="false">'Visitor Economics'!$B$5*B175</f>
        <v>31411.1904522931</v>
      </c>
      <c r="H175" s="29" t="n">
        <f aca="false">MAX(0,'Visitor Economics'!$B$18*B175*C175*D175)</f>
        <v>658432.242776213</v>
      </c>
      <c r="I175" s="29" t="n">
        <f aca="false">H175*Controls!$B$52</f>
        <v>934973.784742222</v>
      </c>
      <c r="J175" s="29" t="n">
        <f aca="false">'City Fiscal'!$B$5+(H175*Controls!$B$56*Controls!$B$55)+('City Fiscal'!$B$9*B175*F175)</f>
        <v>142516.504152762</v>
      </c>
      <c r="K175" s="29" t="n">
        <f aca="false">J175-('City Fiscal'!$B$13*E175)</f>
        <v>26061.8213278488</v>
      </c>
      <c r="L175" s="30" t="n">
        <f aca="false">'Mobility &amp; Emissions'!$B$21*B175*F175</f>
        <v>82.0598796332237</v>
      </c>
    </row>
    <row r="176" customFormat="false" ht="15" hidden="false" customHeight="true" outlineLevel="0" collapsed="false">
      <c r="A176" s="14" t="n">
        <v>172</v>
      </c>
      <c r="B176" s="47" t="n">
        <v>0.908246637382818</v>
      </c>
      <c r="C176" s="47" t="n">
        <v>1.00767012863891</v>
      </c>
      <c r="D176" s="47" t="n">
        <v>1.0559413748374</v>
      </c>
      <c r="E176" s="47" t="n">
        <v>0.955867214588362</v>
      </c>
      <c r="F176" s="47" t="n">
        <v>0.998870749309594</v>
      </c>
      <c r="G176" s="27" t="n">
        <f aca="false">'Visitor Economics'!$B$5*B176</f>
        <v>29245.5417237267</v>
      </c>
      <c r="H176" s="29" t="n">
        <f aca="false">MAX(0,'Visitor Economics'!$B$18*B176*C176*D176)</f>
        <v>699288.940647008</v>
      </c>
      <c r="I176" s="29" t="n">
        <f aca="false">H176*Controls!$B$52</f>
        <v>992990.295718751</v>
      </c>
      <c r="J176" s="29" t="n">
        <f aca="false">'City Fiscal'!$B$5+(H176*Controls!$B$56*Controls!$B$55)+('City Fiscal'!$B$9*B176*F176)</f>
        <v>145750.11748859</v>
      </c>
      <c r="K176" s="29" t="n">
        <f aca="false">J176-('City Fiscal'!$B$13*E176)</f>
        <v>40604.7238838706</v>
      </c>
      <c r="L176" s="30" t="n">
        <f aca="false">'Mobility &amp; Emissions'!$B$21*B176*F176</f>
        <v>84.6724781348141</v>
      </c>
    </row>
    <row r="177" customFormat="false" ht="15" hidden="false" customHeight="true" outlineLevel="0" collapsed="false">
      <c r="A177" s="14" t="n">
        <v>173</v>
      </c>
      <c r="B177" s="47" t="n">
        <v>0.903168177708368</v>
      </c>
      <c r="C177" s="47" t="n">
        <v>0.952170344631464</v>
      </c>
      <c r="D177" s="47" t="n">
        <v>0.940618492086061</v>
      </c>
      <c r="E177" s="47" t="n">
        <v>0.909070197035821</v>
      </c>
      <c r="F177" s="47" t="n">
        <v>0.949837367753762</v>
      </c>
      <c r="G177" s="27" t="n">
        <f aca="false">'Visitor Economics'!$B$5*B177</f>
        <v>29082.0153222095</v>
      </c>
      <c r="H177" s="29" t="n">
        <f aca="false">MAX(0,'Visitor Economics'!$B$18*B177*C177*D177)</f>
        <v>585317.43470941</v>
      </c>
      <c r="I177" s="29" t="n">
        <f aca="false">H177*Controls!$B$52</f>
        <v>831150.757287362</v>
      </c>
      <c r="J177" s="29" t="n">
        <f aca="false">'City Fiscal'!$B$5+(H177*Controls!$B$56*Controls!$B$55)+('City Fiscal'!$B$9*B177*F177)</f>
        <v>139776.722184053</v>
      </c>
      <c r="K177" s="29" t="n">
        <f aca="false">J177-('City Fiscal'!$B$13*E177)</f>
        <v>39779.0005101129</v>
      </c>
      <c r="L177" s="30" t="n">
        <f aca="false">'Mobility &amp; Emissions'!$B$21*B177*F177</f>
        <v>80.0658013822799</v>
      </c>
    </row>
    <row r="178" customFormat="false" ht="15" hidden="false" customHeight="true" outlineLevel="0" collapsed="false">
      <c r="A178" s="14" t="n">
        <v>174</v>
      </c>
      <c r="B178" s="47" t="n">
        <v>0.871926057241677</v>
      </c>
      <c r="C178" s="47" t="n">
        <v>1.06650233649962</v>
      </c>
      <c r="D178" s="47" t="n">
        <v>0.932359115250779</v>
      </c>
      <c r="E178" s="47" t="n">
        <v>0.998465963141435</v>
      </c>
      <c r="F178" s="47" t="n">
        <v>0.961747483193135</v>
      </c>
      <c r="G178" s="27" t="n">
        <f aca="false">'Visitor Economics'!$B$5*B178</f>
        <v>28076.019043182</v>
      </c>
      <c r="H178" s="29" t="n">
        <f aca="false">MAX(0,'Visitor Economics'!$B$18*B178*C178*D178)</f>
        <v>627363.65984296</v>
      </c>
      <c r="I178" s="29" t="n">
        <f aca="false">H178*Controls!$B$52</f>
        <v>890856.396977003</v>
      </c>
      <c r="J178" s="29" t="n">
        <f aca="false">'City Fiscal'!$B$5+(H178*Controls!$B$56*Controls!$B$55)+('City Fiscal'!$B$9*B178*F178)</f>
        <v>138003.287916149</v>
      </c>
      <c r="K178" s="29" t="n">
        <f aca="false">J178-('City Fiscal'!$B$13*E178)</f>
        <v>28172.0319705915</v>
      </c>
      <c r="L178" s="30" t="n">
        <f aca="false">'Mobility &amp; Emissions'!$B$21*B178*F178</f>
        <v>78.2654148323229</v>
      </c>
    </row>
    <row r="179" customFormat="false" ht="15" hidden="false" customHeight="true" outlineLevel="0" collapsed="false">
      <c r="A179" s="14" t="n">
        <v>175</v>
      </c>
      <c r="B179" s="47" t="n">
        <v>0.928807895078576</v>
      </c>
      <c r="C179" s="47" t="n">
        <v>1.05251666872479</v>
      </c>
      <c r="D179" s="47" t="n">
        <v>0.879890439983013</v>
      </c>
      <c r="E179" s="47" t="n">
        <v>0.910791519427753</v>
      </c>
      <c r="F179" s="47" t="n">
        <v>0.967824021319933</v>
      </c>
      <c r="G179" s="27" t="n">
        <f aca="false">'Visitor Economics'!$B$5*B179</f>
        <v>29907.6142215301</v>
      </c>
      <c r="H179" s="29" t="n">
        <f aca="false">MAX(0,'Visitor Economics'!$B$18*B179*C179*D179)</f>
        <v>622412.275640049</v>
      </c>
      <c r="I179" s="29" t="n">
        <f aca="false">H179*Controls!$B$52</f>
        <v>883825.431408869</v>
      </c>
      <c r="J179" s="29" t="n">
        <f aca="false">'City Fiscal'!$B$5+(H179*Controls!$B$56*Controls!$B$55)+('City Fiscal'!$B$9*B179*F179)</f>
        <v>144371.838005587</v>
      </c>
      <c r="K179" s="29" t="n">
        <f aca="false">J179-('City Fiscal'!$B$13*E179)</f>
        <v>44184.7708685344</v>
      </c>
      <c r="L179" s="30" t="n">
        <f aca="false">'Mobility &amp; Emissions'!$B$21*B179*F179</f>
        <v>83.897973684307</v>
      </c>
    </row>
    <row r="180" customFormat="false" ht="15" hidden="false" customHeight="true" outlineLevel="0" collapsed="false">
      <c r="A180" s="14" t="n">
        <v>176</v>
      </c>
      <c r="B180" s="47" t="n">
        <v>0.945622584072852</v>
      </c>
      <c r="C180" s="47" t="n">
        <v>1.00037558777574</v>
      </c>
      <c r="D180" s="47" t="n">
        <v>0.929964995915714</v>
      </c>
      <c r="E180" s="47" t="n">
        <v>1.02462531198025</v>
      </c>
      <c r="F180" s="47" t="n">
        <v>0.914167748908622</v>
      </c>
      <c r="G180" s="27" t="n">
        <f aca="false">'Visitor Economics'!$B$5*B180</f>
        <v>30449.0472071458</v>
      </c>
      <c r="H180" s="29" t="n">
        <f aca="false">MAX(0,'Visitor Economics'!$B$18*B180*C180*D180)</f>
        <v>636564.173426411</v>
      </c>
      <c r="I180" s="29" t="n">
        <f aca="false">H180*Controls!$B$52</f>
        <v>903921.126265503</v>
      </c>
      <c r="J180" s="29" t="n">
        <f aca="false">'City Fiscal'!$B$5+(H180*Controls!$B$56*Controls!$B$55)+('City Fiscal'!$B$9*B180*F180)</f>
        <v>140808.235645754</v>
      </c>
      <c r="K180" s="29" t="n">
        <f aca="false">J180-('City Fiscal'!$B$13*E180)</f>
        <v>28099.4513279269</v>
      </c>
      <c r="L180" s="30" t="n">
        <f aca="false">'Mobility &amp; Emissions'!$B$21*B180*F180</f>
        <v>80.6813038257171</v>
      </c>
    </row>
    <row r="181" customFormat="false" ht="15" hidden="false" customHeight="true" outlineLevel="0" collapsed="false">
      <c r="A181" s="14" t="n">
        <v>177</v>
      </c>
      <c r="B181" s="47" t="n">
        <v>0.931073063698337</v>
      </c>
      <c r="C181" s="47" t="n">
        <v>0.907412813706001</v>
      </c>
      <c r="D181" s="47" t="n">
        <v>1.00103966179329</v>
      </c>
      <c r="E181" s="47" t="n">
        <v>1.00739692912084</v>
      </c>
      <c r="F181" s="47" t="n">
        <v>1.01846103238964</v>
      </c>
      <c r="G181" s="27" t="n">
        <f aca="false">'Visitor Economics'!$B$5*B181</f>
        <v>29980.5526510865</v>
      </c>
      <c r="H181" s="29" t="n">
        <f aca="false">MAX(0,'Visitor Economics'!$B$18*B181*C181*D181)</f>
        <v>611976.329694837</v>
      </c>
      <c r="I181" s="29" t="n">
        <f aca="false">H181*Controls!$B$52</f>
        <v>869006.388166668</v>
      </c>
      <c r="J181" s="29" t="n">
        <f aca="false">'City Fiscal'!$B$5+(H181*Controls!$B$56*Controls!$B$55)+('City Fiscal'!$B$9*B181*F181)</f>
        <v>149537.050157947</v>
      </c>
      <c r="K181" s="29" t="n">
        <f aca="false">J181-('City Fiscal'!$B$13*E181)</f>
        <v>38723.3879546548</v>
      </c>
      <c r="L181" s="30" t="n">
        <f aca="false">'Mobility &amp; Emissions'!$B$21*B181*F181</f>
        <v>88.5028703165417</v>
      </c>
    </row>
    <row r="182" customFormat="false" ht="15" hidden="false" customHeight="true" outlineLevel="0" collapsed="false">
      <c r="A182" s="14" t="n">
        <v>178</v>
      </c>
      <c r="B182" s="47" t="n">
        <v>0.845963626340583</v>
      </c>
      <c r="C182" s="47" t="n">
        <v>0.927874927578191</v>
      </c>
      <c r="D182" s="47" t="n">
        <v>1.13708963732234</v>
      </c>
      <c r="E182" s="47" t="n">
        <v>0.963621377238906</v>
      </c>
      <c r="F182" s="47" t="n">
        <v>0.965314786562695</v>
      </c>
      <c r="G182" s="27" t="n">
        <f aca="false">'Visitor Economics'!$B$5*B182</f>
        <v>27240.0287681668</v>
      </c>
      <c r="H182" s="29" t="n">
        <f aca="false">MAX(0,'Visitor Economics'!$B$18*B182*C182*D182)</f>
        <v>645848.270772522</v>
      </c>
      <c r="I182" s="29" t="n">
        <f aca="false">H182*Controls!$B$52</f>
        <v>917104.544496981</v>
      </c>
      <c r="J182" s="29" t="n">
        <f aca="false">'City Fiscal'!$B$5+(H182*Controls!$B$56*Controls!$B$55)+('City Fiscal'!$B$9*B182*F182)</f>
        <v>135794.920214434</v>
      </c>
      <c r="K182" s="29" t="n">
        <f aca="false">J182-('City Fiscal'!$B$13*E182)</f>
        <v>29796.5687181545</v>
      </c>
      <c r="L182" s="30" t="n">
        <f aca="false">'Mobility &amp; Emissions'!$B$21*B182*F182</f>
        <v>76.2166446094488</v>
      </c>
    </row>
    <row r="183" customFormat="false" ht="15" hidden="false" customHeight="true" outlineLevel="0" collapsed="false">
      <c r="A183" s="14" t="n">
        <v>179</v>
      </c>
      <c r="B183" s="47" t="n">
        <v>0.926726209469112</v>
      </c>
      <c r="C183" s="47" t="n">
        <v>1.00419844560629</v>
      </c>
      <c r="D183" s="47" t="n">
        <v>0.885430071611472</v>
      </c>
      <c r="E183" s="47" t="n">
        <v>0.920116432217693</v>
      </c>
      <c r="F183" s="47" t="n">
        <v>1.09913252512656</v>
      </c>
      <c r="G183" s="27" t="n">
        <f aca="false">'Visitor Economics'!$B$5*B183</f>
        <v>29840.5839449054</v>
      </c>
      <c r="H183" s="29" t="n">
        <f aca="false">MAX(0,'Visitor Economics'!$B$18*B183*C183*D183)</f>
        <v>596238.379537334</v>
      </c>
      <c r="I183" s="29" t="n">
        <f aca="false">H183*Controls!$B$52</f>
        <v>846658.498943014</v>
      </c>
      <c r="J183" s="29" t="n">
        <f aca="false">'City Fiscal'!$B$5+(H183*Controls!$B$56*Controls!$B$55)+('City Fiscal'!$B$9*B183*F183)</f>
        <v>156894.52853464</v>
      </c>
      <c r="K183" s="29" t="n">
        <f aca="false">J183-('City Fiscal'!$B$13*E183)</f>
        <v>55681.7209906938</v>
      </c>
      <c r="L183" s="30" t="n">
        <f aca="false">'Mobility &amp; Emissions'!$B$21*B183*F183</f>
        <v>95.0671953750095</v>
      </c>
    </row>
    <row r="184" customFormat="false" ht="15" hidden="false" customHeight="true" outlineLevel="0" collapsed="false">
      <c r="A184" s="14" t="n">
        <v>180</v>
      </c>
      <c r="B184" s="47" t="n">
        <v>1.00571714314291</v>
      </c>
      <c r="C184" s="47" t="n">
        <v>0.892931474686859</v>
      </c>
      <c r="D184" s="47" t="n">
        <v>0.957149372000016</v>
      </c>
      <c r="E184" s="47" t="n">
        <v>0.908634643339949</v>
      </c>
      <c r="F184" s="47" t="n">
        <v>0.995507731753333</v>
      </c>
      <c r="G184" s="27" t="n">
        <f aca="false">'Visitor Economics'!$B$5*B184</f>
        <v>32384.0920092017</v>
      </c>
      <c r="H184" s="29" t="n">
        <f aca="false">MAX(0,'Visitor Economics'!$B$18*B184*C184*D184)</f>
        <v>621968.475330059</v>
      </c>
      <c r="I184" s="29" t="n">
        <f aca="false">H184*Controls!$B$52</f>
        <v>883195.234968684</v>
      </c>
      <c r="J184" s="29" t="n">
        <f aca="false">'City Fiscal'!$B$5+(H184*Controls!$B$56*Controls!$B$55)+('City Fiscal'!$B$9*B184*F184)</f>
        <v>155216.290519964</v>
      </c>
      <c r="K184" s="29" t="n">
        <f aca="false">J184-('City Fiscal'!$B$13*E184)</f>
        <v>55266.4797525697</v>
      </c>
      <c r="L184" s="30" t="n">
        <f aca="false">'Mobility &amp; Emissions'!$B$21*B184*F184</f>
        <v>93.4436226238463</v>
      </c>
    </row>
    <row r="185" customFormat="false" ht="15" hidden="false" customHeight="true" outlineLevel="0" collapsed="false">
      <c r="A185" s="14" t="n">
        <v>181</v>
      </c>
      <c r="B185" s="47" t="n">
        <v>0.887275346655231</v>
      </c>
      <c r="C185" s="47" t="n">
        <v>0.966877499978724</v>
      </c>
      <c r="D185" s="47" t="n">
        <v>1.01865339855533</v>
      </c>
      <c r="E185" s="47" t="n">
        <v>1.01074333865073</v>
      </c>
      <c r="F185" s="47" t="n">
        <v>1.0440401019253</v>
      </c>
      <c r="G185" s="27" t="n">
        <f aca="false">'Visitor Economics'!$B$5*B185</f>
        <v>28570.2661622984</v>
      </c>
      <c r="H185" s="29" t="n">
        <f aca="false">MAX(0,'Visitor Economics'!$B$18*B185*C185*D185)</f>
        <v>632340.468439449</v>
      </c>
      <c r="I185" s="29" t="n">
        <f aca="false">H185*Controls!$B$52</f>
        <v>897923.465184017</v>
      </c>
      <c r="J185" s="29" t="n">
        <f aca="false">'City Fiscal'!$B$5+(H185*Controls!$B$56*Controls!$B$55)+('City Fiscal'!$B$9*B185*F185)</f>
        <v>147345.199955205</v>
      </c>
      <c r="K185" s="29" t="n">
        <f aca="false">J185-('City Fiscal'!$B$13*E185)</f>
        <v>36163.4327036243</v>
      </c>
      <c r="L185" s="30" t="n">
        <f aca="false">'Mobility &amp; Emissions'!$B$21*B185*F185</f>
        <v>86.457917673351</v>
      </c>
    </row>
    <row r="186" customFormat="false" ht="15" hidden="false" customHeight="true" outlineLevel="0" collapsed="false">
      <c r="A186" s="14" t="n">
        <v>182</v>
      </c>
      <c r="B186" s="47" t="n">
        <v>0.881811590695755</v>
      </c>
      <c r="C186" s="47" t="n">
        <v>1.03357083825467</v>
      </c>
      <c r="D186" s="47" t="n">
        <v>0.839726878371467</v>
      </c>
      <c r="E186" s="47" t="n">
        <v>1.04642875939858</v>
      </c>
      <c r="F186" s="47" t="n">
        <v>1.07948404435874</v>
      </c>
      <c r="G186" s="27" t="n">
        <f aca="false">'Visitor Economics'!$B$5*B186</f>
        <v>28394.3332204033</v>
      </c>
      <c r="H186" s="29" t="n">
        <f aca="false">MAX(0,'Visitor Economics'!$B$18*B186*C186*D186)</f>
        <v>553794.673682547</v>
      </c>
      <c r="I186" s="29" t="n">
        <f aca="false">H186*Controls!$B$52</f>
        <v>786388.436629216</v>
      </c>
      <c r="J186" s="29" t="n">
        <f aca="false">'City Fiscal'!$B$5+(H186*Controls!$B$56*Controls!$B$55)+('City Fiscal'!$B$9*B186*F186)</f>
        <v>149546.077183459</v>
      </c>
      <c r="K186" s="29" t="n">
        <f aca="false">J186-('City Fiscal'!$B$13*E186)</f>
        <v>34438.9136496152</v>
      </c>
      <c r="L186" s="30" t="n">
        <f aca="false">'Mobility &amp; Emissions'!$B$21*B186*F186</f>
        <v>88.8425891742366</v>
      </c>
    </row>
    <row r="187" customFormat="false" ht="15" hidden="false" customHeight="true" outlineLevel="0" collapsed="false">
      <c r="A187" s="14" t="n">
        <v>183</v>
      </c>
      <c r="B187" s="47" t="n">
        <v>0.847722965085708</v>
      </c>
      <c r="C187" s="47" t="n">
        <v>1.0874116585264</v>
      </c>
      <c r="D187" s="47" t="n">
        <v>1.16924574314626</v>
      </c>
      <c r="E187" s="47" t="n">
        <v>0.885541589849499</v>
      </c>
      <c r="F187" s="47" t="n">
        <v>0.92779781487934</v>
      </c>
      <c r="G187" s="27" t="n">
        <f aca="false">'Visitor Economics'!$B$5*B187</f>
        <v>27296.6794757598</v>
      </c>
      <c r="H187" s="29" t="n">
        <f aca="false">MAX(0,'Visitor Economics'!$B$18*B187*C187*D187)</f>
        <v>779917.024396845</v>
      </c>
      <c r="I187" s="29" t="n">
        <f aca="false">H187*Controls!$B$52</f>
        <v>1107482.17464352</v>
      </c>
      <c r="J187" s="29" t="n">
        <f aca="false">'City Fiscal'!$B$5+(H187*Controls!$B$56*Controls!$B$55)+('City Fiscal'!$B$9*B187*F187)</f>
        <v>133470.714655309</v>
      </c>
      <c r="K187" s="29" t="n">
        <f aca="false">J187-('City Fiscal'!$B$13*E187)</f>
        <v>36061.139771864</v>
      </c>
      <c r="L187" s="30" t="n">
        <f aca="false">'Mobility &amp; Emissions'!$B$21*B187*F187</f>
        <v>73.4068300567512</v>
      </c>
    </row>
    <row r="188" customFormat="false" ht="15" hidden="false" customHeight="true" outlineLevel="0" collapsed="false">
      <c r="A188" s="14" t="n">
        <v>184</v>
      </c>
      <c r="B188" s="47" t="n">
        <v>0.834530725284009</v>
      </c>
      <c r="C188" s="47" t="n">
        <v>0.949069748585794</v>
      </c>
      <c r="D188" s="47" t="n">
        <v>1.12712302900869</v>
      </c>
      <c r="E188" s="47" t="n">
        <v>0.979697526593244</v>
      </c>
      <c r="F188" s="47" t="n">
        <v>0.970093713407489</v>
      </c>
      <c r="G188" s="27" t="n">
        <f aca="false">'Visitor Economics'!$B$5*B188</f>
        <v>26871.8893541451</v>
      </c>
      <c r="H188" s="29" t="n">
        <f aca="false">MAX(0,'Visitor Economics'!$B$18*B188*C188*D188)</f>
        <v>645961.232181604</v>
      </c>
      <c r="I188" s="29" t="n">
        <f aca="false">H188*Controls!$B$52</f>
        <v>917264.949697878</v>
      </c>
      <c r="J188" s="29" t="n">
        <f aca="false">'City Fiscal'!$B$5+(H188*Controls!$B$56*Controls!$B$55)+('City Fiscal'!$B$9*B188*F188)</f>
        <v>135048.13028469</v>
      </c>
      <c r="K188" s="29" t="n">
        <f aca="false">J188-('City Fiscal'!$B$13*E188)</f>
        <v>27281.4023594332</v>
      </c>
      <c r="L188" s="30" t="n">
        <f aca="false">'Mobility &amp; Emissions'!$B$21*B188*F188</f>
        <v>75.5588253201348</v>
      </c>
    </row>
    <row r="189" customFormat="false" ht="15" hidden="false" customHeight="true" outlineLevel="0" collapsed="false">
      <c r="A189" s="14" t="n">
        <v>185</v>
      </c>
      <c r="B189" s="47" t="n">
        <v>0.884899952335547</v>
      </c>
      <c r="C189" s="47" t="n">
        <v>0.989891141617213</v>
      </c>
      <c r="D189" s="47" t="n">
        <v>0.867177405329592</v>
      </c>
      <c r="E189" s="47" t="n">
        <v>1.00365928067004</v>
      </c>
      <c r="F189" s="47" t="n">
        <v>1.05716950931941</v>
      </c>
      <c r="G189" s="27" t="n">
        <f aca="false">'Visitor Economics'!$B$5*B189</f>
        <v>28493.7784652046</v>
      </c>
      <c r="H189" s="29" t="n">
        <f aca="false">MAX(0,'Visitor Economics'!$B$18*B189*C189*D189)</f>
        <v>549647.469309187</v>
      </c>
      <c r="I189" s="29" t="n">
        <f aca="false">H189*Controls!$B$52</f>
        <v>780499.406419045</v>
      </c>
      <c r="J189" s="29" t="n">
        <f aca="false">'City Fiscal'!$B$5+(H189*Controls!$B$56*Controls!$B$55)+('City Fiscal'!$B$9*B189*F189)</f>
        <v>147778.535925645</v>
      </c>
      <c r="K189" s="29" t="n">
        <f aca="false">J189-('City Fiscal'!$B$13*E189)</f>
        <v>37376.0150519411</v>
      </c>
      <c r="L189" s="30" t="n">
        <f aca="false">'Mobility &amp; Emissions'!$B$21*B189*F189</f>
        <v>87.3108018855793</v>
      </c>
    </row>
    <row r="190" customFormat="false" ht="15" hidden="false" customHeight="true" outlineLevel="0" collapsed="false">
      <c r="A190" s="14" t="n">
        <v>186</v>
      </c>
      <c r="B190" s="47" t="n">
        <v>0.906399367087023</v>
      </c>
      <c r="C190" s="47" t="n">
        <v>1.00671275446901</v>
      </c>
      <c r="D190" s="47" t="n">
        <v>1.02483061931071</v>
      </c>
      <c r="E190" s="47" t="n">
        <v>1.1502816466241</v>
      </c>
      <c r="F190" s="47" t="n">
        <v>0.996278843309619</v>
      </c>
      <c r="G190" s="27" t="n">
        <f aca="false">'Visitor Economics'!$B$5*B190</f>
        <v>29186.0596202021</v>
      </c>
      <c r="H190" s="29" t="n">
        <f aca="false">MAX(0,'Visitor Economics'!$B$18*B190*C190*D190)</f>
        <v>676662.215885791</v>
      </c>
      <c r="I190" s="29" t="n">
        <f aca="false">H190*Controls!$B$52</f>
        <v>960860.346557823</v>
      </c>
      <c r="J190" s="29" t="n">
        <f aca="false">'City Fiscal'!$B$5+(H190*Controls!$B$56*Controls!$B$55)+('City Fiscal'!$B$9*B190*F190)</f>
        <v>145158.634346491</v>
      </c>
      <c r="K190" s="29" t="n">
        <f aca="false">J190-('City Fiscal'!$B$13*E190)</f>
        <v>18627.6532178399</v>
      </c>
      <c r="L190" s="30" t="n">
        <f aca="false">'Mobility &amp; Emissions'!$B$21*B190*F190</f>
        <v>84.2809996050449</v>
      </c>
    </row>
    <row r="191" customFormat="false" ht="15" hidden="false" customHeight="true" outlineLevel="0" collapsed="false">
      <c r="A191" s="14" t="n">
        <v>187</v>
      </c>
      <c r="B191" s="47" t="n">
        <v>0.998928692494295</v>
      </c>
      <c r="C191" s="47" t="n">
        <v>1.09030151519017</v>
      </c>
      <c r="D191" s="47" t="n">
        <v>0.949391558231218</v>
      </c>
      <c r="E191" s="47" t="n">
        <v>0.984472794102855</v>
      </c>
      <c r="F191" s="47" t="n">
        <v>1.09327698879643</v>
      </c>
      <c r="G191" s="27" t="n">
        <f aca="false">'Visitor Economics'!$B$5*B191</f>
        <v>32165.5038983163</v>
      </c>
      <c r="H191" s="29" t="n">
        <f aca="false">MAX(0,'Visitor Economics'!$B$18*B191*C191*D191)</f>
        <v>748205.917384683</v>
      </c>
      <c r="I191" s="29" t="n">
        <f aca="false">H191*Controls!$B$52</f>
        <v>1062452.40268625</v>
      </c>
      <c r="J191" s="29" t="n">
        <f aca="false">'City Fiscal'!$B$5+(H191*Controls!$B$56*Controls!$B$55)+('City Fiscal'!$B$9*B191*F191)</f>
        <v>165675.745370606</v>
      </c>
      <c r="K191" s="29" t="n">
        <f aca="false">J191-('City Fiscal'!$B$13*E191)</f>
        <v>57383.7380192916</v>
      </c>
      <c r="L191" s="30" t="n">
        <f aca="false">'Mobility &amp; Emissions'!$B$21*B191*F191</f>
        <v>101.928086502839</v>
      </c>
    </row>
    <row r="192" customFormat="false" ht="15" hidden="false" customHeight="true" outlineLevel="0" collapsed="false">
      <c r="A192" s="14" t="n">
        <v>188</v>
      </c>
      <c r="B192" s="47" t="n">
        <v>0.960100083472512</v>
      </c>
      <c r="C192" s="47" t="n">
        <v>0.891435285398744</v>
      </c>
      <c r="D192" s="47" t="n">
        <v>1.02069398176236</v>
      </c>
      <c r="E192" s="47" t="n">
        <v>1.0525949595375</v>
      </c>
      <c r="F192" s="47" t="n">
        <v>1.10626786078866</v>
      </c>
      <c r="G192" s="27" t="n">
        <f aca="false">'Visitor Economics'!$B$5*B192</f>
        <v>30915.2226878149</v>
      </c>
      <c r="H192" s="29" t="n">
        <f aca="false">MAX(0,'Visitor Economics'!$B$18*B192*C192*D192)</f>
        <v>632115.663026592</v>
      </c>
      <c r="I192" s="29" t="n">
        <f aca="false">H192*Controls!$B$52</f>
        <v>897604.24149776</v>
      </c>
      <c r="J192" s="29" t="n">
        <f aca="false">'City Fiscal'!$B$5+(H192*Controls!$B$56*Controls!$B$55)+('City Fiscal'!$B$9*B192*F192)</f>
        <v>161744.063250042</v>
      </c>
      <c r="K192" s="29" t="n">
        <f aca="false">J192-('City Fiscal'!$B$13*E192)</f>
        <v>45958.6177009165</v>
      </c>
      <c r="L192" s="30" t="n">
        <f aca="false">'Mobility &amp; Emissions'!$B$21*B192*F192</f>
        <v>99.1301993031937</v>
      </c>
    </row>
    <row r="193" customFormat="false" ht="15" hidden="false" customHeight="true" outlineLevel="0" collapsed="false">
      <c r="A193" s="14" t="n">
        <v>189</v>
      </c>
      <c r="B193" s="47" t="n">
        <v>0.969206299603199</v>
      </c>
      <c r="C193" s="47" t="n">
        <v>0.923009708280336</v>
      </c>
      <c r="D193" s="47" t="n">
        <v>1.08758463742614</v>
      </c>
      <c r="E193" s="47" t="n">
        <v>0.957284012179132</v>
      </c>
      <c r="F193" s="47" t="n">
        <v>1.05267323081495</v>
      </c>
      <c r="G193" s="27" t="n">
        <f aca="false">'Visitor Economics'!$B$5*B193</f>
        <v>31208.442847223</v>
      </c>
      <c r="H193" s="29" t="n">
        <f aca="false">MAX(0,'Visitor Economics'!$B$18*B193*C193*D193)</f>
        <v>704012.274581694</v>
      </c>
      <c r="I193" s="29" t="n">
        <f aca="false">H193*Controls!$B$52</f>
        <v>999697.429906006</v>
      </c>
      <c r="J193" s="29" t="n">
        <f aca="false">'City Fiscal'!$B$5+(H193*Controls!$B$56*Controls!$B$55)+('City Fiscal'!$B$9*B193*F193)</f>
        <v>157769.237502312</v>
      </c>
      <c r="K193" s="29" t="n">
        <f aca="false">J193-('City Fiscal'!$B$13*E193)</f>
        <v>52467.9961626074</v>
      </c>
      <c r="L193" s="30" t="n">
        <f aca="false">'Mobility &amp; Emissions'!$B$21*B193*F193</f>
        <v>95.2223694074599</v>
      </c>
    </row>
    <row r="194" customFormat="false" ht="15" hidden="false" customHeight="true" outlineLevel="0" collapsed="false">
      <c r="A194" s="14" t="n">
        <v>190</v>
      </c>
      <c r="B194" s="47" t="n">
        <v>0.892324529823187</v>
      </c>
      <c r="C194" s="47" t="n">
        <v>0.995672991663488</v>
      </c>
      <c r="D194" s="47" t="n">
        <v>0.978612940162518</v>
      </c>
      <c r="E194" s="47" t="n">
        <v>1.02367335552348</v>
      </c>
      <c r="F194" s="47" t="n">
        <v>0.98673880210094</v>
      </c>
      <c r="G194" s="27" t="n">
        <f aca="false">'Visitor Economics'!$B$5*B194</f>
        <v>28732.8498603066</v>
      </c>
      <c r="H194" s="29" t="n">
        <f aca="false">MAX(0,'Visitor Economics'!$B$18*B194*C194*D194)</f>
        <v>629136.935015872</v>
      </c>
      <c r="I194" s="29" t="n">
        <f aca="false">H194*Controls!$B$52</f>
        <v>893374.447722539</v>
      </c>
      <c r="J194" s="29" t="n">
        <f aca="false">'City Fiscal'!$B$5+(H194*Controls!$B$56*Controls!$B$55)+('City Fiscal'!$B$9*B194*F194)</f>
        <v>142460.607389274</v>
      </c>
      <c r="K194" s="29" t="n">
        <f aca="false">J194-('City Fiscal'!$B$13*E194)</f>
        <v>29856.5382816913</v>
      </c>
      <c r="L194" s="30" t="n">
        <f aca="false">'Mobility &amp; Emissions'!$B$21*B194*F194</f>
        <v>82.1777440443267</v>
      </c>
    </row>
    <row r="195" customFormat="false" ht="15" hidden="false" customHeight="true" outlineLevel="0" collapsed="false">
      <c r="A195" s="14" t="n">
        <v>191</v>
      </c>
      <c r="B195" s="47" t="n">
        <v>0.85744417344126</v>
      </c>
      <c r="C195" s="47" t="n">
        <v>0.999774859198944</v>
      </c>
      <c r="D195" s="47" t="n">
        <v>1.00198538349525</v>
      </c>
      <c r="E195" s="47" t="n">
        <v>0.960626099995698</v>
      </c>
      <c r="F195" s="47" t="n">
        <v>0.89373213921134</v>
      </c>
      <c r="G195" s="27" t="n">
        <f aca="false">'Visitor Economics'!$B$5*B195</f>
        <v>27609.7023848086</v>
      </c>
      <c r="H195" s="29" t="n">
        <f aca="false">MAX(0,'Visitor Economics'!$B$18*B195*C195*D195)</f>
        <v>621532.898012674</v>
      </c>
      <c r="I195" s="29" t="n">
        <f aca="false">H195*Controls!$B$52</f>
        <v>882576.715177997</v>
      </c>
      <c r="J195" s="29" t="n">
        <f aca="false">'City Fiscal'!$B$5+(H195*Controls!$B$56*Controls!$B$55)+('City Fiscal'!$B$9*B195*F195)</f>
        <v>130303.048827975</v>
      </c>
      <c r="K195" s="29" t="n">
        <f aca="false">J195-('City Fiscal'!$B$13*E195)</f>
        <v>24634.1778284485</v>
      </c>
      <c r="L195" s="30" t="n">
        <f aca="false">'Mobility &amp; Emissions'!$B$21*B195*F195</f>
        <v>71.5224537709908</v>
      </c>
    </row>
    <row r="196" customFormat="false" ht="15" hidden="false" customHeight="true" outlineLevel="0" collapsed="false">
      <c r="A196" s="14" t="n">
        <v>192</v>
      </c>
      <c r="B196" s="47" t="n">
        <v>0.809839571042493</v>
      </c>
      <c r="C196" s="47" t="n">
        <v>0.942192471126498</v>
      </c>
      <c r="D196" s="47" t="n">
        <v>1.14351643319272</v>
      </c>
      <c r="E196" s="47" t="n">
        <v>0.936216608107447</v>
      </c>
      <c r="F196" s="47" t="n">
        <v>0.909434838268477</v>
      </c>
      <c r="G196" s="27" t="n">
        <f aca="false">'Visitor Economics'!$B$5*B196</f>
        <v>26076.8341875683</v>
      </c>
      <c r="H196" s="29" t="n">
        <f aca="false">MAX(0,'Visitor Economics'!$B$18*B196*C196*D196)</f>
        <v>631358.022130536</v>
      </c>
      <c r="I196" s="29" t="n">
        <f aca="false">H196*Controls!$B$52</f>
        <v>896528.391425362</v>
      </c>
      <c r="J196" s="29" t="n">
        <f aca="false">'City Fiscal'!$B$5+(H196*Controls!$B$56*Controls!$B$55)+('City Fiscal'!$B$9*B196*F196)</f>
        <v>127203.078989497</v>
      </c>
      <c r="K196" s="29" t="n">
        <f aca="false">J196-('City Fiscal'!$B$13*E196)</f>
        <v>24219.2520976773</v>
      </c>
      <c r="L196" s="30" t="n">
        <f aca="false">'Mobility &amp; Emissions'!$B$21*B196*F196</f>
        <v>68.7384535253598</v>
      </c>
    </row>
    <row r="197" customFormat="false" ht="15" hidden="false" customHeight="true" outlineLevel="0" collapsed="false">
      <c r="A197" s="14" t="n">
        <v>193</v>
      </c>
      <c r="B197" s="47" t="n">
        <v>0.888366046342939</v>
      </c>
      <c r="C197" s="47" t="n">
        <v>1.0309045455705</v>
      </c>
      <c r="D197" s="47" t="n">
        <v>0.993903015406516</v>
      </c>
      <c r="E197" s="47" t="n">
        <v>1.06496284156959</v>
      </c>
      <c r="F197" s="47" t="n">
        <v>1.01033074783618</v>
      </c>
      <c r="G197" s="27" t="n">
        <f aca="false">'Visitor Economics'!$B$5*B197</f>
        <v>28605.3866922426</v>
      </c>
      <c r="H197" s="29" t="n">
        <f aca="false">MAX(0,'Visitor Economics'!$B$18*B197*C197*D197)</f>
        <v>658641.488136653</v>
      </c>
      <c r="I197" s="29" t="n">
        <f aca="false">H197*Controls!$B$52</f>
        <v>935270.913154047</v>
      </c>
      <c r="J197" s="29" t="n">
        <f aca="false">'City Fiscal'!$B$5+(H197*Controls!$B$56*Controls!$B$55)+('City Fiscal'!$B$9*B197*F197)</f>
        <v>144460.341912745</v>
      </c>
      <c r="K197" s="29" t="n">
        <f aca="false">J197-('City Fiscal'!$B$13*E197)</f>
        <v>27314.4293400897</v>
      </c>
      <c r="L197" s="30" t="n">
        <f aca="false">'Mobility &amp; Emissions'!$B$21*B197*F197</f>
        <v>83.7692636612648</v>
      </c>
    </row>
    <row r="198" customFormat="false" ht="15" hidden="false" customHeight="true" outlineLevel="0" collapsed="false">
      <c r="A198" s="14" t="n">
        <v>194</v>
      </c>
      <c r="B198" s="47" t="n">
        <v>0.909549990351215</v>
      </c>
      <c r="C198" s="47" t="n">
        <v>0.851606961258558</v>
      </c>
      <c r="D198" s="47" t="n">
        <v>1.03606952063813</v>
      </c>
      <c r="E198" s="47" t="n">
        <v>1.09021498818725</v>
      </c>
      <c r="F198" s="47" t="n">
        <v>0.926042751133819</v>
      </c>
      <c r="G198" s="27" t="n">
        <f aca="false">'Visitor Economics'!$B$5*B198</f>
        <v>29287.5096893091</v>
      </c>
      <c r="H198" s="29" t="n">
        <f aca="false">MAX(0,'Visitor Economics'!$B$18*B198*C198*D198)</f>
        <v>580696.68082155</v>
      </c>
      <c r="I198" s="29" t="n">
        <f aca="false">H198*Controls!$B$52</f>
        <v>824589.286766601</v>
      </c>
      <c r="J198" s="29" t="n">
        <f aca="false">'City Fiscal'!$B$5+(H198*Controls!$B$56*Controls!$B$55)+('City Fiscal'!$B$9*B198*F198)</f>
        <v>138094.309157535</v>
      </c>
      <c r="K198" s="29" t="n">
        <f aca="false">J198-('City Fiscal'!$B$13*E198)</f>
        <v>18170.6604569377</v>
      </c>
      <c r="L198" s="30" t="n">
        <f aca="false">'Mobility &amp; Emissions'!$B$21*B198*F198</f>
        <v>78.6116273059142</v>
      </c>
    </row>
    <row r="199" customFormat="false" ht="15" hidden="false" customHeight="true" outlineLevel="0" collapsed="false">
      <c r="A199" s="14" t="n">
        <v>195</v>
      </c>
      <c r="B199" s="47" t="n">
        <v>0.906266385075364</v>
      </c>
      <c r="C199" s="47" t="n">
        <v>1.02714527475675</v>
      </c>
      <c r="D199" s="47" t="n">
        <v>0.814483329305623</v>
      </c>
      <c r="E199" s="47" t="n">
        <v>0.998682679630679</v>
      </c>
      <c r="F199" s="47" t="n">
        <v>0.94915896328623</v>
      </c>
      <c r="G199" s="27" t="n">
        <f aca="false">'Visitor Economics'!$B$5*B199</f>
        <v>29181.7775994267</v>
      </c>
      <c r="H199" s="29" t="n">
        <f aca="false">MAX(0,'Visitor Economics'!$B$18*B199*C199*D199)</f>
        <v>548611.129066297</v>
      </c>
      <c r="I199" s="29" t="n">
        <f aca="false">H199*Controls!$B$52</f>
        <v>779027.803274142</v>
      </c>
      <c r="J199" s="29" t="n">
        <f aca="false">'City Fiscal'!$B$5+(H199*Controls!$B$56*Controls!$B$55)+('City Fiscal'!$B$9*B199*F199)</f>
        <v>139785.767756568</v>
      </c>
      <c r="K199" s="29" t="n">
        <f aca="false">J199-('City Fiscal'!$B$13*E199)</f>
        <v>29930.6729971929</v>
      </c>
      <c r="L199" s="30" t="n">
        <f aca="false">'Mobility &amp; Emissions'!$B$21*B199*F199</f>
        <v>80.2830755233918</v>
      </c>
    </row>
    <row r="200" customFormat="false" ht="15" hidden="false" customHeight="true" outlineLevel="0" collapsed="false">
      <c r="A200" s="14" t="n">
        <v>196</v>
      </c>
      <c r="B200" s="47" t="n">
        <v>0.924187683463972</v>
      </c>
      <c r="C200" s="47" t="n">
        <v>1.0541365047997</v>
      </c>
      <c r="D200" s="47" t="n">
        <v>1.04191648311315</v>
      </c>
      <c r="E200" s="47" t="n">
        <v>0.980181459601291</v>
      </c>
      <c r="F200" s="47" t="n">
        <v>1.0147502310538</v>
      </c>
      <c r="G200" s="27" t="n">
        <f aca="false">'Visitor Economics'!$B$5*B200</f>
        <v>29758.8434075399</v>
      </c>
      <c r="H200" s="29" t="n">
        <f aca="false">MAX(0,'Visitor Economics'!$B$18*B200*C200*D200)</f>
        <v>734487.836174614</v>
      </c>
      <c r="I200" s="29" t="n">
        <f aca="false">H200*Controls!$B$52</f>
        <v>1042972.72736795</v>
      </c>
      <c r="J200" s="29" t="n">
        <f aca="false">'City Fiscal'!$B$5+(H200*Controls!$B$56*Controls!$B$55)+('City Fiscal'!$B$9*B200*F200)</f>
        <v>149223.462608957</v>
      </c>
      <c r="K200" s="29" t="n">
        <f aca="false">J200-('City Fiscal'!$B$13*E200)</f>
        <v>41403.5020528148</v>
      </c>
      <c r="L200" s="30" t="n">
        <f aca="false">'Mobility &amp; Emissions'!$B$21*B200*F200</f>
        <v>87.5283036588799</v>
      </c>
    </row>
    <row r="201" customFormat="false" ht="15" hidden="false" customHeight="true" outlineLevel="0" collapsed="false">
      <c r="A201" s="14" t="n">
        <v>197</v>
      </c>
      <c r="B201" s="47" t="n">
        <v>0.934794366383437</v>
      </c>
      <c r="C201" s="47" t="n">
        <v>0.978205562481223</v>
      </c>
      <c r="D201" s="47" t="n">
        <v>1.0526392896243</v>
      </c>
      <c r="E201" s="47" t="n">
        <v>1.01482187601735</v>
      </c>
      <c r="F201" s="47" t="n">
        <v>1.10730925158773</v>
      </c>
      <c r="G201" s="27" t="n">
        <f aca="false">'Visitor Economics'!$B$5*B201</f>
        <v>30100.3785975467</v>
      </c>
      <c r="H201" s="29" t="n">
        <f aca="false">MAX(0,'Visitor Economics'!$B$18*B201*C201*D201)</f>
        <v>696498.94034065</v>
      </c>
      <c r="I201" s="29" t="n">
        <f aca="false">H201*Controls!$B$52</f>
        <v>989028.495283722</v>
      </c>
      <c r="J201" s="29" t="n">
        <f aca="false">'City Fiscal'!$B$5+(H201*Controls!$B$56*Controls!$B$55)+('City Fiscal'!$B$9*B201*F201)</f>
        <v>159295.409361576</v>
      </c>
      <c r="K201" s="29" t="n">
        <f aca="false">J201-('City Fiscal'!$B$13*E201)</f>
        <v>47665.0029996677</v>
      </c>
      <c r="L201" s="30" t="n">
        <f aca="false">'Mobility &amp; Emissions'!$B$21*B201*F201</f>
        <v>96.6082446807885</v>
      </c>
    </row>
    <row r="202" customFormat="false" ht="15" hidden="false" customHeight="true" outlineLevel="0" collapsed="false">
      <c r="A202" s="14" t="n">
        <v>198</v>
      </c>
      <c r="B202" s="47" t="n">
        <v>0.821192232277457</v>
      </c>
      <c r="C202" s="47" t="n">
        <v>0.989572993132751</v>
      </c>
      <c r="D202" s="47" t="n">
        <v>1.08119908175605</v>
      </c>
      <c r="E202" s="47" t="n">
        <v>1.1415046083928</v>
      </c>
      <c r="F202" s="47" t="n">
        <v>1.03046966912118</v>
      </c>
      <c r="G202" s="27" t="n">
        <f aca="false">'Visitor Economics'!$B$5*B202</f>
        <v>26442.3898793341</v>
      </c>
      <c r="H202" s="29" t="n">
        <f aca="false">MAX(0,'Visitor Economics'!$B$18*B202*C202*D202)</f>
        <v>635759.714102648</v>
      </c>
      <c r="I202" s="29" t="n">
        <f aca="false">H202*Controls!$B$52</f>
        <v>902778.79402576</v>
      </c>
      <c r="J202" s="29" t="n">
        <f aca="false">'City Fiscal'!$B$5+(H202*Controls!$B$56*Controls!$B$55)+('City Fiscal'!$B$9*B202*F202)</f>
        <v>138868.088916811</v>
      </c>
      <c r="K202" s="29" t="n">
        <f aca="false">J202-('City Fiscal'!$B$13*E202)</f>
        <v>13302.5819936026</v>
      </c>
      <c r="L202" s="30" t="n">
        <f aca="false">'Mobility &amp; Emissions'!$B$21*B202*F202</f>
        <v>78.9785620530944</v>
      </c>
    </row>
    <row r="203" customFormat="false" ht="15" hidden="false" customHeight="true" outlineLevel="0" collapsed="false">
      <c r="A203" s="14" t="n">
        <v>199</v>
      </c>
      <c r="B203" s="47" t="n">
        <v>0.864299466190481</v>
      </c>
      <c r="C203" s="47" t="n">
        <v>0.968704404776725</v>
      </c>
      <c r="D203" s="47" t="n">
        <v>1.08436108549015</v>
      </c>
      <c r="E203" s="47" t="n">
        <v>1.07542551732856</v>
      </c>
      <c r="F203" s="47" t="n">
        <v>1.09529625241357</v>
      </c>
      <c r="G203" s="27" t="n">
        <f aca="false">'Visitor Economics'!$B$5*B203</f>
        <v>27830.4428113335</v>
      </c>
      <c r="H203" s="29" t="n">
        <f aca="false">MAX(0,'Visitor Economics'!$B$18*B203*C203*D203)</f>
        <v>656937.589342302</v>
      </c>
      <c r="I203" s="29" t="n">
        <f aca="false">H203*Controls!$B$52</f>
        <v>932851.376866069</v>
      </c>
      <c r="J203" s="29" t="n">
        <f aca="false">'City Fiscal'!$B$5+(H203*Controls!$B$56*Controls!$B$55)+('City Fiscal'!$B$9*B203*F203)</f>
        <v>149658.952512794</v>
      </c>
      <c r="K203" s="29" t="n">
        <f aca="false">J203-('City Fiscal'!$B$13*E203)</f>
        <v>31362.1456066528</v>
      </c>
      <c r="L203" s="30" t="n">
        <f aca="false">'Mobility &amp; Emissions'!$B$21*B203*F203</f>
        <v>88.3537573017935</v>
      </c>
    </row>
    <row r="204" customFormat="false" ht="15" hidden="false" customHeight="true" outlineLevel="0" collapsed="false">
      <c r="A204" s="14" t="n">
        <v>200</v>
      </c>
      <c r="B204" s="47" t="n">
        <v>0.893218373067272</v>
      </c>
      <c r="C204" s="47" t="n">
        <v>1.00173757993344</v>
      </c>
      <c r="D204" s="47" t="n">
        <v>0.787190271204899</v>
      </c>
      <c r="E204" s="47" t="n">
        <v>0.904613828657023</v>
      </c>
      <c r="F204" s="47" t="n">
        <v>1.00620326846552</v>
      </c>
      <c r="G204" s="27" t="n">
        <f aca="false">'Visitor Economics'!$B$5*B204</f>
        <v>28761.6316127662</v>
      </c>
      <c r="H204" s="29" t="n">
        <f aca="false">MAX(0,'Visitor Economics'!$B$18*B204*C204*D204)</f>
        <v>509666.398133953</v>
      </c>
      <c r="I204" s="29" t="n">
        <f aca="false">H204*Controls!$B$52</f>
        <v>723726.285350213</v>
      </c>
      <c r="J204" s="29" t="n">
        <f aca="false">'City Fiscal'!$B$5+(H204*Controls!$B$56*Controls!$B$55)+('City Fiscal'!$B$9*B204*F204)</f>
        <v>143623.920487613</v>
      </c>
      <c r="K204" s="29" t="n">
        <f aca="false">J204-('City Fiscal'!$B$13*E204)</f>
        <v>44116.3993353403</v>
      </c>
      <c r="L204" s="30" t="n">
        <f aca="false">'Mobility &amp; Emissions'!$B$21*B204*F204</f>
        <v>83.8827283603802</v>
      </c>
    </row>
    <row r="205" customFormat="false" ht="15" hidden="false" customHeight="true" outlineLevel="0" collapsed="false">
      <c r="A205" s="14" t="n">
        <v>201</v>
      </c>
      <c r="B205" s="47" t="n">
        <v>0.967122783734391</v>
      </c>
      <c r="C205" s="47" t="n">
        <v>1.0909139208555</v>
      </c>
      <c r="D205" s="47" t="n">
        <v>0.862296415474795</v>
      </c>
      <c r="E205" s="47" t="n">
        <v>0.836459040069214</v>
      </c>
      <c r="F205" s="47" t="n">
        <v>1.11748077491698</v>
      </c>
      <c r="G205" s="27" t="n">
        <f aca="false">'Visitor Economics'!$B$5*B205</f>
        <v>31141.3536362474</v>
      </c>
      <c r="H205" s="29" t="n">
        <f aca="false">MAX(0,'Visitor Economics'!$B$18*B205*C205*D205)</f>
        <v>658299.232364176</v>
      </c>
      <c r="I205" s="29" t="n">
        <f aca="false">H205*Controls!$B$52</f>
        <v>934784.90995713</v>
      </c>
      <c r="J205" s="29" t="n">
        <f aca="false">'City Fiscal'!$B$5+(H205*Controls!$B$56*Controls!$B$55)+('City Fiscal'!$B$9*B205*F205)</f>
        <v>163887.831053973</v>
      </c>
      <c r="K205" s="29" t="n">
        <f aca="false">J205-('City Fiscal'!$B$13*E205)</f>
        <v>71877.3366463592</v>
      </c>
      <c r="L205" s="30" t="n">
        <f aca="false">'Mobility &amp; Emissions'!$B$21*B205*F205</f>
        <v>100.867405784863</v>
      </c>
    </row>
    <row r="206" customFormat="false" ht="15" hidden="false" customHeight="true" outlineLevel="0" collapsed="false">
      <c r="A206" s="14" t="n">
        <v>202</v>
      </c>
      <c r="B206" s="47" t="n">
        <v>0.856351817267175</v>
      </c>
      <c r="C206" s="47" t="n">
        <v>0.937460631702711</v>
      </c>
      <c r="D206" s="47" t="n">
        <v>0.88244559531771</v>
      </c>
      <c r="E206" s="47" t="n">
        <v>1.18822419567501</v>
      </c>
      <c r="F206" s="47" t="n">
        <v>1.13576975052924</v>
      </c>
      <c r="G206" s="27" t="n">
        <f aca="false">'Visitor Economics'!$B$5*B206</f>
        <v>27574.528516003</v>
      </c>
      <c r="H206" s="29" t="n">
        <f aca="false">MAX(0,'Visitor Economics'!$B$18*B206*C206*D206)</f>
        <v>512610.941359342</v>
      </c>
      <c r="I206" s="29" t="n">
        <f aca="false">H206*Controls!$B$52</f>
        <v>727907.536730266</v>
      </c>
      <c r="J206" s="29" t="n">
        <f aca="false">'City Fiscal'!$B$5+(H206*Controls!$B$56*Controls!$B$55)+('City Fiscal'!$B$9*B206*F206)</f>
        <v>151476.420161745</v>
      </c>
      <c r="K206" s="29" t="n">
        <f aca="false">J206-('City Fiscal'!$B$13*E206)</f>
        <v>20771.7586374938</v>
      </c>
      <c r="L206" s="30" t="n">
        <f aca="false">'Mobility &amp; Emissions'!$B$21*B206*F206</f>
        <v>90.776137110328</v>
      </c>
    </row>
    <row r="207" customFormat="false" ht="15" hidden="false" customHeight="true" outlineLevel="0" collapsed="false">
      <c r="A207" s="14" t="n">
        <v>203</v>
      </c>
      <c r="B207" s="47" t="n">
        <v>0.850398863627192</v>
      </c>
      <c r="C207" s="47" t="n">
        <v>1.0416546108568</v>
      </c>
      <c r="D207" s="47" t="n">
        <v>0.950304726886837</v>
      </c>
      <c r="E207" s="47" t="n">
        <v>0.857840454542725</v>
      </c>
      <c r="F207" s="47" t="n">
        <v>1.00097818951576</v>
      </c>
      <c r="G207" s="27" t="n">
        <f aca="false">'Visitor Economics'!$B$5*B207</f>
        <v>27382.8434087956</v>
      </c>
      <c r="H207" s="29" t="n">
        <f aca="false">MAX(0,'Visitor Economics'!$B$18*B207*C207*D207)</f>
        <v>609121.558720267</v>
      </c>
      <c r="I207" s="29" t="n">
        <f aca="false">H207*Controls!$B$52</f>
        <v>864952.613382779</v>
      </c>
      <c r="J207" s="29" t="n">
        <f aca="false">'City Fiscal'!$B$5+(H207*Controls!$B$56*Controls!$B$55)+('City Fiscal'!$B$9*B207*F207)</f>
        <v>139227.573282266</v>
      </c>
      <c r="K207" s="29" t="n">
        <f aca="false">J207-('City Fiscal'!$B$13*E207)</f>
        <v>44865.1232825662</v>
      </c>
      <c r="L207" s="30" t="n">
        <f aca="false">'Mobility &amp; Emissions'!$B$21*B207*F207</f>
        <v>79.4468097119476</v>
      </c>
    </row>
    <row r="208" customFormat="false" ht="15" hidden="false" customHeight="true" outlineLevel="0" collapsed="false">
      <c r="A208" s="14" t="n">
        <v>204</v>
      </c>
      <c r="B208" s="47" t="n">
        <v>0.898723207503841</v>
      </c>
      <c r="C208" s="47" t="n">
        <v>0.850740852297879</v>
      </c>
      <c r="D208" s="47" t="n">
        <v>0.918494404219088</v>
      </c>
      <c r="E208" s="47" t="n">
        <v>1.11343042066404</v>
      </c>
      <c r="F208" s="47" t="n">
        <v>1.01966389602263</v>
      </c>
      <c r="G208" s="27" t="n">
        <f aca="false">'Visitor Economics'!$B$5*B208</f>
        <v>28938.8872816237</v>
      </c>
      <c r="H208" s="29" t="n">
        <f aca="false">MAX(0,'Visitor Economics'!$B$18*B208*C208*D208)</f>
        <v>508152.923901952</v>
      </c>
      <c r="I208" s="29" t="n">
        <f aca="false">H208*Controls!$B$52</f>
        <v>721577.151940772</v>
      </c>
      <c r="J208" s="29" t="n">
        <f aca="false">'City Fiscal'!$B$5+(H208*Controls!$B$56*Controls!$B$55)+('City Fiscal'!$B$9*B208*F208)</f>
        <v>145484.603552996</v>
      </c>
      <c r="K208" s="29" t="n">
        <f aca="false">J208-('City Fiscal'!$B$13*E208)</f>
        <v>23007.2572799519</v>
      </c>
      <c r="L208" s="30" t="n">
        <f aca="false">'Mobility &amp; Emissions'!$B$21*B208*F208</f>
        <v>85.5287598933782</v>
      </c>
    </row>
    <row r="209" customFormat="false" ht="15" hidden="false" customHeight="true" outlineLevel="0" collapsed="false">
      <c r="A209" s="14" t="n">
        <v>205</v>
      </c>
      <c r="B209" s="47" t="n">
        <v>0.989602631692859</v>
      </c>
      <c r="C209" s="47" t="n">
        <v>1.02851229590814</v>
      </c>
      <c r="D209" s="47" t="n">
        <v>0.944435701719548</v>
      </c>
      <c r="E209" s="47" t="n">
        <v>1.15525692637454</v>
      </c>
      <c r="F209" s="47" t="n">
        <v>0.948931794687047</v>
      </c>
      <c r="G209" s="27" t="n">
        <f aca="false">'Visitor Economics'!$B$5*B209</f>
        <v>31865.2047405101</v>
      </c>
      <c r="H209" s="29" t="n">
        <f aca="false">MAX(0,'Visitor Economics'!$B$18*B209*C209*D209)</f>
        <v>695564.478660664</v>
      </c>
      <c r="I209" s="29" t="n">
        <f aca="false">H209*Controls!$B$52</f>
        <v>987701.559698143</v>
      </c>
      <c r="J209" s="29" t="n">
        <f aca="false">'City Fiscal'!$B$5+(H209*Controls!$B$56*Controls!$B$55)+('City Fiscal'!$B$9*B209*F209)</f>
        <v>149103.360453898</v>
      </c>
      <c r="K209" s="29" t="n">
        <f aca="false">J209-('City Fiscal'!$B$13*E209)</f>
        <v>22025.0985526982</v>
      </c>
      <c r="L209" s="30" t="n">
        <f aca="false">'Mobility &amp; Emissions'!$B$21*B209*F209</f>
        <v>87.6445703163153</v>
      </c>
    </row>
    <row r="210" customFormat="false" ht="15" hidden="false" customHeight="true" outlineLevel="0" collapsed="false">
      <c r="A210" s="14" t="n">
        <v>206</v>
      </c>
      <c r="B210" s="47" t="n">
        <v>0.850637100733255</v>
      </c>
      <c r="C210" s="47" t="n">
        <v>0.997050840156154</v>
      </c>
      <c r="D210" s="47" t="n">
        <v>1.00846584092514</v>
      </c>
      <c r="E210" s="47" t="n">
        <v>1.059523623512</v>
      </c>
      <c r="F210" s="47" t="n">
        <v>0.938360058850139</v>
      </c>
      <c r="G210" s="27" t="n">
        <f aca="false">'Visitor Economics'!$B$5*B210</f>
        <v>27390.5146436108</v>
      </c>
      <c r="H210" s="29" t="n">
        <f aca="false">MAX(0,'Visitor Economics'!$B$18*B210*C210*D210)</f>
        <v>618895.729850233</v>
      </c>
      <c r="I210" s="29" t="n">
        <f aca="false">H210*Controls!$B$52</f>
        <v>878831.936387331</v>
      </c>
      <c r="J210" s="29" t="n">
        <f aca="false">'City Fiscal'!$B$5+(H210*Controls!$B$56*Controls!$B$55)+('City Fiscal'!$B$9*B210*F210)</f>
        <v>133666.950077216</v>
      </c>
      <c r="K210" s="29" t="n">
        <f aca="false">J210-('City Fiscal'!$B$13*E210)</f>
        <v>17119.3514908958</v>
      </c>
      <c r="L210" s="30" t="n">
        <f aca="false">'Mobility &amp; Emissions'!$B$21*B210*F210</f>
        <v>74.4977250580519</v>
      </c>
    </row>
    <row r="211" customFormat="false" ht="15" hidden="false" customHeight="true" outlineLevel="0" collapsed="false">
      <c r="A211" s="14" t="n">
        <v>207</v>
      </c>
      <c r="B211" s="47" t="n">
        <v>0.995751288694036</v>
      </c>
      <c r="C211" s="47" t="n">
        <v>1.03567918406467</v>
      </c>
      <c r="D211" s="47" t="n">
        <v>1.14802573854153</v>
      </c>
      <c r="E211" s="47" t="n">
        <v>1.01390944533929</v>
      </c>
      <c r="F211" s="47" t="n">
        <v>0.986079021160501</v>
      </c>
      <c r="G211" s="27" t="n">
        <f aca="false">'Visitor Economics'!$B$5*B211</f>
        <v>32063.191495948</v>
      </c>
      <c r="H211" s="29" t="n">
        <f aca="false">MAX(0,'Visitor Economics'!$B$18*B211*C211*D211)</f>
        <v>856687.47848697</v>
      </c>
      <c r="I211" s="29" t="n">
        <f aca="false">H211*Controls!$B$52</f>
        <v>1216496.2194515</v>
      </c>
      <c r="J211" s="29" t="n">
        <f aca="false">'City Fiscal'!$B$5+(H211*Controls!$B$56*Controls!$B$55)+('City Fiscal'!$B$9*B211*F211)</f>
        <v>154689.303210061</v>
      </c>
      <c r="K211" s="29" t="n">
        <f aca="false">J211-('City Fiscal'!$B$13*E211)</f>
        <v>43159.2642227386</v>
      </c>
      <c r="L211" s="30" t="n">
        <f aca="false">'Mobility &amp; Emissions'!$B$21*B211*F211</f>
        <v>91.6414121475292</v>
      </c>
    </row>
    <row r="212" customFormat="false" ht="15" hidden="false" customHeight="true" outlineLevel="0" collapsed="false">
      <c r="A212" s="14" t="n">
        <v>208</v>
      </c>
      <c r="B212" s="47" t="n">
        <v>0.831683653121659</v>
      </c>
      <c r="C212" s="47" t="n">
        <v>1.05496154983396</v>
      </c>
      <c r="D212" s="47" t="n">
        <v>1.01462529872563</v>
      </c>
      <c r="E212" s="47" t="n">
        <v>0.866967009698298</v>
      </c>
      <c r="F212" s="47" t="n">
        <v>0.896717234507192</v>
      </c>
      <c r="G212" s="27" t="n">
        <f aca="false">'Visitor Economics'!$B$5*B212</f>
        <v>26780.2136305174</v>
      </c>
      <c r="H212" s="29" t="n">
        <f aca="false">MAX(0,'Visitor Economics'!$B$18*B212*C212*D212)</f>
        <v>644162.076283987</v>
      </c>
      <c r="I212" s="29" t="n">
        <f aca="false">H212*Controls!$B$52</f>
        <v>914710.148323261</v>
      </c>
      <c r="J212" s="29" t="n">
        <f aca="false">'City Fiscal'!$B$5+(H212*Controls!$B$56*Controls!$B$55)+('City Fiscal'!$B$9*B212*F212)</f>
        <v>128271.202060595</v>
      </c>
      <c r="K212" s="29" t="n">
        <f aca="false">J212-('City Fiscal'!$B$13*E212)</f>
        <v>32904.8309937823</v>
      </c>
      <c r="L212" s="30" t="n">
        <f aca="false">'Mobility &amp; Emissions'!$B$21*B212*F212</f>
        <v>69.6053879895218</v>
      </c>
    </row>
    <row r="213" customFormat="false" ht="15" hidden="false" customHeight="true" outlineLevel="0" collapsed="false">
      <c r="A213" s="14" t="n">
        <v>209</v>
      </c>
      <c r="B213" s="47" t="n">
        <v>0.94659700278599</v>
      </c>
      <c r="C213" s="47" t="n">
        <v>1.02297423022722</v>
      </c>
      <c r="D213" s="47" t="n">
        <v>1.0450457368094</v>
      </c>
      <c r="E213" s="47" t="n">
        <v>1.05451023044671</v>
      </c>
      <c r="F213" s="47" t="n">
        <v>1.02585290982065</v>
      </c>
      <c r="G213" s="27" t="n">
        <f aca="false">'Visitor Economics'!$B$5*B213</f>
        <v>30480.4234897089</v>
      </c>
      <c r="H213" s="29" t="n">
        <f aca="false">MAX(0,'Visitor Economics'!$B$18*B213*C213*D213)</f>
        <v>732250.684010723</v>
      </c>
      <c r="I213" s="29" t="n">
        <f aca="false">H213*Controls!$B$52</f>
        <v>1039795.97129523</v>
      </c>
      <c r="J213" s="29" t="n">
        <f aca="false">'City Fiscal'!$B$5+(H213*Controls!$B$56*Controls!$B$55)+('City Fiscal'!$B$9*B213*F213)</f>
        <v>152735.379465126</v>
      </c>
      <c r="K213" s="29" t="n">
        <f aca="false">J213-('City Fiscal'!$B$13*E213)</f>
        <v>36739.2541159878</v>
      </c>
      <c r="L213" s="30" t="n">
        <f aca="false">'Mobility &amp; Emissions'!$B$21*B213*F213</f>
        <v>90.6315476288081</v>
      </c>
    </row>
    <row r="214" customFormat="false" ht="15" hidden="false" customHeight="true" outlineLevel="0" collapsed="false">
      <c r="A214" s="14" t="n">
        <v>210</v>
      </c>
      <c r="B214" s="47" t="n">
        <v>0.880816665289029</v>
      </c>
      <c r="C214" s="47" t="n">
        <v>0.955199852070925</v>
      </c>
      <c r="D214" s="47" t="n">
        <v>1.05234183548358</v>
      </c>
      <c r="E214" s="47" t="n">
        <v>1.07176911042134</v>
      </c>
      <c r="F214" s="47" t="n">
        <v>0.943313986089975</v>
      </c>
      <c r="G214" s="27" t="n">
        <f aca="false">'Visitor Economics'!$B$5*B214</f>
        <v>28362.2966223067</v>
      </c>
      <c r="H214" s="29" t="n">
        <f aca="false">MAX(0,'Visitor Economics'!$B$18*B214*C214*D214)</f>
        <v>640665.407532574</v>
      </c>
      <c r="I214" s="29" t="n">
        <f aca="false">H214*Controls!$B$52</f>
        <v>909744.878696255</v>
      </c>
      <c r="J214" s="29" t="n">
        <f aca="false">'City Fiscal'!$B$5+(H214*Controls!$B$56*Controls!$B$55)+('City Fiscal'!$B$9*B214*F214)</f>
        <v>137274.314465352</v>
      </c>
      <c r="K214" s="29" t="n">
        <f aca="false">J214-('City Fiscal'!$B$13*E214)</f>
        <v>19379.7123190041</v>
      </c>
      <c r="L214" s="30" t="n">
        <f aca="false">'Mobility &amp; Emissions'!$B$21*B214*F214</f>
        <v>77.5480663095956</v>
      </c>
    </row>
    <row r="215" customFormat="false" ht="15" hidden="false" customHeight="true" outlineLevel="0" collapsed="false">
      <c r="A215" s="14" t="n">
        <v>211</v>
      </c>
      <c r="B215" s="47" t="n">
        <v>1.00960769515459</v>
      </c>
      <c r="C215" s="47" t="n">
        <v>0.961063815346105</v>
      </c>
      <c r="D215" s="47" t="n">
        <v>1.02771920910704</v>
      </c>
      <c r="E215" s="47" t="n">
        <v>1.07328341900093</v>
      </c>
      <c r="F215" s="47" t="n">
        <v>0.91093028803477</v>
      </c>
      <c r="G215" s="27" t="n">
        <f aca="false">'Visitor Economics'!$B$5*B215</f>
        <v>32509.3677839778</v>
      </c>
      <c r="H215" s="29" t="n">
        <f aca="false">MAX(0,'Visitor Economics'!$B$18*B215*C215*D215)</f>
        <v>721562.611561211</v>
      </c>
      <c r="I215" s="29" t="n">
        <f aca="false">H215*Controls!$B$52</f>
        <v>1024618.90841692</v>
      </c>
      <c r="J215" s="29" t="n">
        <f aca="false">'City Fiscal'!$B$5+(H215*Controls!$B$56*Controls!$B$55)+('City Fiscal'!$B$9*B215*F215)</f>
        <v>147216.073280069</v>
      </c>
      <c r="K215" s="29" t="n">
        <f aca="false">J215-('City Fiscal'!$B$13*E215)</f>
        <v>29154.8971899665</v>
      </c>
      <c r="L215" s="30" t="n">
        <f aca="false">'Mobility &amp; Emissions'!$B$21*B215*F215</f>
        <v>85.8355058502939</v>
      </c>
    </row>
    <row r="216" customFormat="false" ht="15" hidden="false" customHeight="true" outlineLevel="0" collapsed="false">
      <c r="A216" s="14" t="n">
        <v>212</v>
      </c>
      <c r="B216" s="47" t="n">
        <v>0.912878892228977</v>
      </c>
      <c r="C216" s="47" t="n">
        <v>1.05093481340067</v>
      </c>
      <c r="D216" s="47" t="n">
        <v>0.987523733582451</v>
      </c>
      <c r="E216" s="47" t="n">
        <v>1.05755845043235</v>
      </c>
      <c r="F216" s="47" t="n">
        <v>0.973784086214667</v>
      </c>
      <c r="G216" s="27" t="n">
        <f aca="false">'Visitor Economics'!$B$5*B216</f>
        <v>29394.7003297731</v>
      </c>
      <c r="H216" s="29" t="n">
        <f aca="false">MAX(0,'Visitor Economics'!$B$18*B216*C216*D216)</f>
        <v>685537.404208896</v>
      </c>
      <c r="I216" s="29" t="n">
        <f aca="false">H216*Controls!$B$52</f>
        <v>973463.113976633</v>
      </c>
      <c r="J216" s="29" t="n">
        <f aca="false">'City Fiscal'!$B$5+(H216*Controls!$B$56*Controls!$B$55)+('City Fiscal'!$B$9*B216*F216)</f>
        <v>143722.883428623</v>
      </c>
      <c r="K216" s="29" t="n">
        <f aca="false">J216-('City Fiscal'!$B$13*E216)</f>
        <v>27391.4538810647</v>
      </c>
      <c r="L216" s="30" t="n">
        <f aca="false">'Mobility &amp; Emissions'!$B$21*B216*F216</f>
        <v>82.9669289234276</v>
      </c>
    </row>
    <row r="217" customFormat="false" ht="15" hidden="false" customHeight="true" outlineLevel="0" collapsed="false">
      <c r="A217" s="14" t="n">
        <v>213</v>
      </c>
      <c r="B217" s="47" t="n">
        <v>0.946433703369002</v>
      </c>
      <c r="C217" s="47" t="n">
        <v>1.02950138122601</v>
      </c>
      <c r="D217" s="47" t="n">
        <v>0.963457624534932</v>
      </c>
      <c r="E217" s="47" t="n">
        <v>1.0696704405817</v>
      </c>
      <c r="F217" s="47" t="n">
        <v>1.02140178850388</v>
      </c>
      <c r="G217" s="27" t="n">
        <f aca="false">'Visitor Economics'!$B$5*B217</f>
        <v>30475.1652484819</v>
      </c>
      <c r="H217" s="29" t="n">
        <f aca="false">MAX(0,'Visitor Economics'!$B$18*B217*C217*D217)</f>
        <v>679273.103612438</v>
      </c>
      <c r="I217" s="29" t="n">
        <f aca="false">H217*Controls!$B$52</f>
        <v>964567.807129662</v>
      </c>
      <c r="J217" s="29" t="n">
        <f aca="false">'City Fiscal'!$B$5+(H217*Controls!$B$56*Controls!$B$55)+('City Fiscal'!$B$9*B217*F217)</f>
        <v>151927.524890775</v>
      </c>
      <c r="K217" s="29" t="n">
        <f aca="false">J217-('City Fiscal'!$B$13*E217)</f>
        <v>34263.7764267879</v>
      </c>
      <c r="L217" s="30" t="n">
        <f aca="false">'Mobility &amp; Emissions'!$B$21*B217*F217</f>
        <v>90.2227349578423</v>
      </c>
    </row>
    <row r="218" customFormat="false" ht="15" hidden="false" customHeight="true" outlineLevel="0" collapsed="false">
      <c r="A218" s="14" t="n">
        <v>214</v>
      </c>
      <c r="B218" s="47" t="n">
        <v>0.868195237966684</v>
      </c>
      <c r="C218" s="47" t="n">
        <v>0.991</v>
      </c>
      <c r="D218" s="47" t="n">
        <v>1.0919849690694</v>
      </c>
      <c r="E218" s="47" t="n">
        <v>0.852324912992922</v>
      </c>
      <c r="F218" s="47" t="n">
        <v>0.941855865354369</v>
      </c>
      <c r="G218" s="27" t="n">
        <f aca="false">'Visitor Economics'!$B$5*B218</f>
        <v>27955.8866625272</v>
      </c>
      <c r="H218" s="29" t="n">
        <f aca="false">MAX(0,'Visitor Economics'!$B$18*B218*C218*D218)</f>
        <v>679833.222150441</v>
      </c>
      <c r="I218" s="29" t="n">
        <f aca="false">H218*Controls!$B$52</f>
        <v>965363.175453626</v>
      </c>
      <c r="J218" s="29" t="n">
        <f aca="false">'City Fiscal'!$B$5+(H218*Controls!$B$56*Controls!$B$55)+('City Fiscal'!$B$9*B218*F218)</f>
        <v>136131.126400768</v>
      </c>
      <c r="K218" s="29" t="n">
        <f aca="false">J218-('City Fiscal'!$B$13*E218)</f>
        <v>42375.3859715464</v>
      </c>
      <c r="L218" s="30" t="n">
        <f aca="false">'Mobility &amp; Emissions'!$B$21*B218*F218</f>
        <v>76.318710266685</v>
      </c>
    </row>
    <row r="219" customFormat="false" ht="15" hidden="false" customHeight="true" outlineLevel="0" collapsed="false">
      <c r="A219" s="14" t="n">
        <v>215</v>
      </c>
      <c r="B219" s="47" t="n">
        <v>0.925194936844069</v>
      </c>
      <c r="C219" s="47" t="n">
        <v>0.964280975876933</v>
      </c>
      <c r="D219" s="47" t="n">
        <v>1.006045598523</v>
      </c>
      <c r="E219" s="47" t="n">
        <v>0.956151753569317</v>
      </c>
      <c r="F219" s="47" t="n">
        <v>1.07307471157025</v>
      </c>
      <c r="G219" s="27" t="n">
        <f aca="false">'Visitor Economics'!$B$5*B219</f>
        <v>29791.276966379</v>
      </c>
      <c r="H219" s="29" t="n">
        <f aca="false">MAX(0,'Visitor Economics'!$B$18*B219*C219*D219)</f>
        <v>649455.174041195</v>
      </c>
      <c r="I219" s="29" t="n">
        <f aca="false">H219*Controls!$B$52</f>
        <v>922226.347138497</v>
      </c>
      <c r="J219" s="29" t="n">
        <f aca="false">'City Fiscal'!$B$5+(H219*Controls!$B$56*Controls!$B$55)+('City Fiscal'!$B$9*B219*F219)</f>
        <v>154503.945461096</v>
      </c>
      <c r="K219" s="29" t="n">
        <f aca="false">J219-('City Fiscal'!$B$13*E219)</f>
        <v>49327.2525684713</v>
      </c>
      <c r="L219" s="30" t="n">
        <f aca="false">'Mobility &amp; Emissions'!$B$21*B219*F219</f>
        <v>92.6600188213121</v>
      </c>
    </row>
    <row r="220" customFormat="false" ht="15" hidden="false" customHeight="true" outlineLevel="0" collapsed="false">
      <c r="A220" s="14" t="n">
        <v>216</v>
      </c>
      <c r="B220" s="47" t="n">
        <v>0.950804624431975</v>
      </c>
      <c r="C220" s="47" t="n">
        <v>1.03546598317837</v>
      </c>
      <c r="D220" s="47" t="n">
        <v>0.818720795446375</v>
      </c>
      <c r="E220" s="47" t="n">
        <v>1.05314027837061</v>
      </c>
      <c r="F220" s="47" t="n">
        <v>1.14178416163742</v>
      </c>
      <c r="G220" s="27" t="n">
        <f aca="false">'Visitor Economics'!$B$5*B220</f>
        <v>30615.9089067096</v>
      </c>
      <c r="H220" s="29" t="n">
        <f aca="false">MAX(0,'Visitor Economics'!$B$18*B220*C220*D220)</f>
        <v>583253.847884316</v>
      </c>
      <c r="I220" s="29" t="n">
        <f aca="false">H220*Controls!$B$52</f>
        <v>828220.463995728</v>
      </c>
      <c r="J220" s="29" t="n">
        <f aca="false">'City Fiscal'!$B$5+(H220*Controls!$B$56*Controls!$B$55)+('City Fiscal'!$B$9*B220*F220)</f>
        <v>163918.312801606</v>
      </c>
      <c r="K220" s="29" t="n">
        <f aca="false">J220-('City Fiscal'!$B$13*E220)</f>
        <v>48072.882180839</v>
      </c>
      <c r="L220" s="30" t="n">
        <f aca="false">'Mobility &amp; Emissions'!$B$21*B220*F220</f>
        <v>101.322168523238</v>
      </c>
    </row>
    <row r="221" customFormat="false" ht="15" hidden="false" customHeight="true" outlineLevel="0" collapsed="false">
      <c r="A221" s="14" t="n">
        <v>217</v>
      </c>
      <c r="B221" s="47" t="n">
        <v>0.917355014469804</v>
      </c>
      <c r="C221" s="47" t="n">
        <v>1.05808069767835</v>
      </c>
      <c r="D221" s="47" t="n">
        <v>1.03744706541664</v>
      </c>
      <c r="E221" s="47" t="n">
        <v>1.04616489507447</v>
      </c>
      <c r="F221" s="47" t="n">
        <v>0.870676073128135</v>
      </c>
      <c r="G221" s="27" t="n">
        <f aca="false">'Visitor Economics'!$B$5*B221</f>
        <v>29538.8314659277</v>
      </c>
      <c r="H221" s="29" t="n">
        <f aca="false">MAX(0,'Visitor Economics'!$B$18*B221*C221*D221)</f>
        <v>728646.439536502</v>
      </c>
      <c r="I221" s="29" t="n">
        <f aca="false">H221*Controls!$B$52</f>
        <v>1034677.94414183</v>
      </c>
      <c r="J221" s="29" t="n">
        <f aca="false">'City Fiscal'!$B$5+(H221*Controls!$B$56*Controls!$B$55)+('City Fiscal'!$B$9*B221*F221)</f>
        <v>134432.774209344</v>
      </c>
      <c r="K221" s="29" t="n">
        <f aca="false">J221-('City Fiscal'!$B$13*E221)</f>
        <v>19354.6357511526</v>
      </c>
      <c r="L221" s="30" t="n">
        <f aca="false">'Mobility &amp; Emissions'!$B$21*B221*F221</f>
        <v>74.5458078474101</v>
      </c>
    </row>
    <row r="222" customFormat="false" ht="15" hidden="false" customHeight="true" outlineLevel="0" collapsed="false">
      <c r="A222" s="14" t="n">
        <v>218</v>
      </c>
      <c r="B222" s="47" t="n">
        <v>0.910840360745452</v>
      </c>
      <c r="C222" s="47" t="n">
        <v>1.00158547386406</v>
      </c>
      <c r="D222" s="47" t="n">
        <v>0.990246284152658</v>
      </c>
      <c r="E222" s="47" t="n">
        <v>1.02847404215307</v>
      </c>
      <c r="F222" s="47" t="n">
        <v>1.01065331005008</v>
      </c>
      <c r="G222" s="27" t="n">
        <f aca="false">'Visitor Economics'!$B$5*B222</f>
        <v>29329.0596160036</v>
      </c>
      <c r="H222" s="29" t="n">
        <f aca="false">MAX(0,'Visitor Economics'!$B$18*B222*C222*D222)</f>
        <v>653684.481452926</v>
      </c>
      <c r="I222" s="29" t="n">
        <f aca="false">H222*Controls!$B$52</f>
        <v>928231.963663154</v>
      </c>
      <c r="J222" s="29" t="n">
        <f aca="false">'City Fiscal'!$B$5+(H222*Controls!$B$56*Controls!$B$55)+('City Fiscal'!$B$9*B222*F222)</f>
        <v>146867.602894112</v>
      </c>
      <c r="K222" s="29" t="n">
        <f aca="false">J222-('City Fiscal'!$B$13*E222)</f>
        <v>33735.4582572739</v>
      </c>
      <c r="L222" s="30" t="n">
        <f aca="false">'Mobility &amp; Emissions'!$B$21*B222*F222</f>
        <v>85.915920159781</v>
      </c>
    </row>
    <row r="223" customFormat="false" ht="15" hidden="false" customHeight="true" outlineLevel="0" collapsed="false">
      <c r="A223" s="14" t="n">
        <v>219</v>
      </c>
      <c r="B223" s="47" t="n">
        <v>0.958129166806968</v>
      </c>
      <c r="C223" s="47" t="n">
        <v>1.03110680565983</v>
      </c>
      <c r="D223" s="47" t="n">
        <v>0.896162386339125</v>
      </c>
      <c r="E223" s="47" t="n">
        <v>0.970977812939518</v>
      </c>
      <c r="F223" s="47" t="n">
        <v>1.03236709643981</v>
      </c>
      <c r="G223" s="27" t="n">
        <f aca="false">'Visitor Economics'!$B$5*B223</f>
        <v>30851.7591711844</v>
      </c>
      <c r="H223" s="29" t="n">
        <f aca="false">MAX(0,'Visitor Economics'!$B$18*B223*C223*D223)</f>
        <v>640632.689530655</v>
      </c>
      <c r="I223" s="29" t="n">
        <f aca="false">H223*Controls!$B$52</f>
        <v>909698.419133531</v>
      </c>
      <c r="J223" s="29" t="n">
        <f aca="false">'City Fiscal'!$B$5+(H223*Controls!$B$56*Controls!$B$55)+('City Fiscal'!$B$9*B223*F223)</f>
        <v>154058.360614219</v>
      </c>
      <c r="K223" s="29" t="n">
        <f aca="false">J223-('City Fiscal'!$B$13*E223)</f>
        <v>47250.8011908715</v>
      </c>
      <c r="L223" s="30" t="n">
        <f aca="false">'Mobility &amp; Emissions'!$B$21*B223*F223</f>
        <v>92.3182134917327</v>
      </c>
    </row>
    <row r="224" customFormat="false" ht="15" hidden="false" customHeight="true" outlineLevel="0" collapsed="false">
      <c r="A224" s="14" t="n">
        <v>220</v>
      </c>
      <c r="B224" s="47" t="n">
        <v>0.908899961210235</v>
      </c>
      <c r="C224" s="47" t="n">
        <v>0.996592751833137</v>
      </c>
      <c r="D224" s="47" t="n">
        <v>1.02877895669715</v>
      </c>
      <c r="E224" s="47" t="n">
        <v>0.920502238781034</v>
      </c>
      <c r="F224" s="47" t="n">
        <v>1.10047727794234</v>
      </c>
      <c r="G224" s="27" t="n">
        <f aca="false">'Visitor Economics'!$B$5*B224</f>
        <v>29266.5787509696</v>
      </c>
      <c r="H224" s="29" t="n">
        <f aca="false">MAX(0,'Visitor Economics'!$B$18*B224*C224*D224)</f>
        <v>674295.949747128</v>
      </c>
      <c r="I224" s="29" t="n">
        <f aca="false">H224*Controls!$B$52</f>
        <v>957500.248640921</v>
      </c>
      <c r="J224" s="29" t="n">
        <f aca="false">'City Fiscal'!$B$5+(H224*Controls!$B$56*Controls!$B$55)+('City Fiscal'!$B$9*B224*F224)</f>
        <v>155451.918954842</v>
      </c>
      <c r="K224" s="29" t="n">
        <f aca="false">J224-('City Fiscal'!$B$13*E224)</f>
        <v>54196.6726889287</v>
      </c>
      <c r="L224" s="30" t="n">
        <f aca="false">'Mobility &amp; Emissions'!$B$21*B224*F224</f>
        <v>93.3525834564233</v>
      </c>
    </row>
    <row r="225" customFormat="false" ht="15" hidden="false" customHeight="true" outlineLevel="0" collapsed="false">
      <c r="A225" s="14" t="n">
        <v>221</v>
      </c>
      <c r="B225" s="47" t="n">
        <v>0.843365605812617</v>
      </c>
      <c r="C225" s="47" t="n">
        <v>1.00007502345216</v>
      </c>
      <c r="D225" s="47" t="n">
        <v>1.14406959832041</v>
      </c>
      <c r="E225" s="47" t="n">
        <v>1.01300052742675</v>
      </c>
      <c r="F225" s="47" t="n">
        <v>0.950062480480947</v>
      </c>
      <c r="G225" s="27" t="n">
        <f aca="false">'Visitor Economics'!$B$5*B225</f>
        <v>27156.3725071663</v>
      </c>
      <c r="H225" s="29" t="n">
        <f aca="false">MAX(0,'Visitor Economics'!$B$18*B225*C225*D225)</f>
        <v>698225.300089447</v>
      </c>
      <c r="I225" s="29" t="n">
        <f aca="false">H225*Controls!$B$52</f>
        <v>991479.926127015</v>
      </c>
      <c r="J225" s="29" t="n">
        <f aca="false">'City Fiscal'!$B$5+(H225*Controls!$B$56*Controls!$B$55)+('City Fiscal'!$B$9*B225*F225)</f>
        <v>134504.075440749</v>
      </c>
      <c r="K225" s="29" t="n">
        <f aca="false">J225-('City Fiscal'!$B$13*E225)</f>
        <v>23074.0174238066</v>
      </c>
      <c r="L225" s="30" t="n">
        <f aca="false">'Mobility &amp; Emissions'!$B$21*B225*F225</f>
        <v>74.7820264366291</v>
      </c>
    </row>
    <row r="226" customFormat="false" ht="15" hidden="false" customHeight="true" outlineLevel="0" collapsed="false">
      <c r="A226" s="14" t="n">
        <v>222</v>
      </c>
      <c r="B226" s="47" t="n">
        <v>0.906664912268552</v>
      </c>
      <c r="C226" s="47" t="n">
        <v>0.942413234578619</v>
      </c>
      <c r="D226" s="47" t="n">
        <v>0.904331411960132</v>
      </c>
      <c r="E226" s="47" t="n">
        <v>0.92126944257771</v>
      </c>
      <c r="F226" s="47" t="n">
        <v>1.00188686756401</v>
      </c>
      <c r="G226" s="27" t="n">
        <f aca="false">'Visitor Economics'!$B$5*B226</f>
        <v>29194.6101750474</v>
      </c>
      <c r="H226" s="29" t="n">
        <f aca="false">MAX(0,'Visitor Economics'!$B$18*B226*C226*D226)</f>
        <v>559127.008494103</v>
      </c>
      <c r="I226" s="29" t="n">
        <f aca="false">H226*Controls!$B$52</f>
        <v>793960.352061626</v>
      </c>
      <c r="J226" s="29" t="n">
        <f aca="false">'City Fiscal'!$B$5+(H226*Controls!$B$56*Controls!$B$55)+('City Fiscal'!$B$9*B226*F226)</f>
        <v>144964.33098718</v>
      </c>
      <c r="K226" s="29" t="n">
        <f aca="false">J226-('City Fiscal'!$B$13*E226)</f>
        <v>43624.692303632</v>
      </c>
      <c r="L226" s="30" t="n">
        <f aca="false">'Mobility &amp; Emissions'!$B$21*B226*F226</f>
        <v>84.7802454154817</v>
      </c>
    </row>
    <row r="227" customFormat="false" ht="15" hidden="false" customHeight="true" outlineLevel="0" collapsed="false">
      <c r="A227" s="14" t="n">
        <v>223</v>
      </c>
      <c r="B227" s="47" t="n">
        <v>0.849679265208525</v>
      </c>
      <c r="C227" s="47" t="n">
        <v>0.923271486868351</v>
      </c>
      <c r="D227" s="47" t="n">
        <v>0.917745780334644</v>
      </c>
      <c r="E227" s="47" t="n">
        <v>1.06409343744773</v>
      </c>
      <c r="F227" s="47" t="n">
        <v>1.03586192572152</v>
      </c>
      <c r="G227" s="27" t="n">
        <f aca="false">'Visitor Economics'!$B$5*B227</f>
        <v>27359.6723397145</v>
      </c>
      <c r="H227" s="29" t="n">
        <f aca="false">MAX(0,'Visitor Economics'!$B$18*B227*C227*D227)</f>
        <v>520956.55834808</v>
      </c>
      <c r="I227" s="29" t="n">
        <f aca="false">H227*Controls!$B$52</f>
        <v>739758.312854274</v>
      </c>
      <c r="J227" s="29" t="n">
        <f aca="false">'City Fiscal'!$B$5+(H227*Controls!$B$56*Controls!$B$55)+('City Fiscal'!$B$9*B227*F227)</f>
        <v>141723.449723972</v>
      </c>
      <c r="K227" s="29" t="n">
        <f aca="false">J227-('City Fiscal'!$B$13*E227)</f>
        <v>24673.1716047219</v>
      </c>
      <c r="L227" s="30" t="n">
        <f aca="false">'Mobility &amp; Emissions'!$B$21*B227*F227</f>
        <v>82.1459330787714</v>
      </c>
    </row>
    <row r="228" customFormat="false" ht="15" hidden="false" customHeight="true" outlineLevel="0" collapsed="false">
      <c r="A228" s="14" t="n">
        <v>224</v>
      </c>
      <c r="B228" s="47" t="n">
        <v>0.811483328921828</v>
      </c>
      <c r="C228" s="47" t="n">
        <v>0.939737212260851</v>
      </c>
      <c r="D228" s="47" t="n">
        <v>1.0433329973121</v>
      </c>
      <c r="E228" s="47" t="n">
        <v>0.961722616402605</v>
      </c>
      <c r="F228" s="47" t="n">
        <v>0.974147090179351</v>
      </c>
      <c r="G228" s="27" t="n">
        <f aca="false">'Visitor Economics'!$B$5*B228</f>
        <v>26129.7631912829</v>
      </c>
      <c r="H228" s="29" t="n">
        <f aca="false">MAX(0,'Visitor Economics'!$B$18*B228*C228*D228)</f>
        <v>575709.822548235</v>
      </c>
      <c r="I228" s="29" t="n">
        <f aca="false">H228*Controls!$B$52</f>
        <v>817507.948018494</v>
      </c>
      <c r="J228" s="29" t="n">
        <f aca="false">'City Fiscal'!$B$5+(H228*Controls!$B$56*Controls!$B$55)+('City Fiscal'!$B$9*B228*F228)</f>
        <v>132570.478868789</v>
      </c>
      <c r="K228" s="29" t="n">
        <f aca="false">J228-('City Fiscal'!$B$13*E228)</f>
        <v>26780.9910645021</v>
      </c>
      <c r="L228" s="30" t="n">
        <f aca="false">'Mobility &amp; Emissions'!$B$21*B228*F228</f>
        <v>73.779093712435</v>
      </c>
    </row>
    <row r="229" customFormat="false" ht="15" hidden="false" customHeight="true" outlineLevel="0" collapsed="false">
      <c r="A229" s="14" t="n">
        <v>225</v>
      </c>
      <c r="B229" s="47" t="n">
        <v>0.973653479094974</v>
      </c>
      <c r="C229" s="47" t="n">
        <v>1.02428166319874</v>
      </c>
      <c r="D229" s="47" t="n">
        <v>1.03225875448138</v>
      </c>
      <c r="E229" s="47" t="n">
        <v>0.999546929798312</v>
      </c>
      <c r="F229" s="47" t="n">
        <v>1.01709966139998</v>
      </c>
      <c r="G229" s="27" t="n">
        <f aca="false">'Visitor Economics'!$B$5*B229</f>
        <v>31351.6420268582</v>
      </c>
      <c r="H229" s="29" t="n">
        <f aca="false">MAX(0,'Visitor Economics'!$B$18*B229*C229*D229)</f>
        <v>744915.58801245</v>
      </c>
      <c r="I229" s="29" t="n">
        <f aca="false">H229*Controls!$B$52</f>
        <v>1057780.13497768</v>
      </c>
      <c r="J229" s="29" t="n">
        <f aca="false">'City Fiscal'!$B$5+(H229*Controls!$B$56*Controls!$B$55)+('City Fiscal'!$B$9*B229*F229)</f>
        <v>154857.311423767</v>
      </c>
      <c r="K229" s="29" t="n">
        <f aca="false">J229-('City Fiscal'!$B$13*E229)</f>
        <v>44907.1491459525</v>
      </c>
      <c r="L229" s="30" t="n">
        <f aca="false">'Mobility &amp; Emissions'!$B$21*B229*F229</f>
        <v>92.4266274038326</v>
      </c>
    </row>
    <row r="230" customFormat="false" ht="15" hidden="false" customHeight="true" outlineLevel="0" collapsed="false">
      <c r="A230" s="14" t="n">
        <v>226</v>
      </c>
      <c r="B230" s="47" t="n">
        <v>0.843893661657476</v>
      </c>
      <c r="C230" s="47" t="n">
        <v>0.946747781045666</v>
      </c>
      <c r="D230" s="47" t="n">
        <v>1.21324064744857</v>
      </c>
      <c r="E230" s="47" t="n">
        <v>1.0348750363161</v>
      </c>
      <c r="F230" s="47" t="n">
        <v>0.962349899866444</v>
      </c>
      <c r="G230" s="27" t="n">
        <f aca="false">'Visitor Economics'!$B$5*B230</f>
        <v>27173.3759053707</v>
      </c>
      <c r="H230" s="29" t="n">
        <f aca="false">MAX(0,'Visitor Economics'!$B$18*B230*C230*D230)</f>
        <v>701396.577840565</v>
      </c>
      <c r="I230" s="29" t="n">
        <f aca="false">H230*Controls!$B$52</f>
        <v>995983.140533602</v>
      </c>
      <c r="J230" s="29" t="n">
        <f aca="false">'City Fiscal'!$B$5+(H230*Controls!$B$56*Controls!$B$55)+('City Fiscal'!$B$9*B230*F230)</f>
        <v>135677.585896192</v>
      </c>
      <c r="K230" s="29" t="n">
        <f aca="false">J230-('City Fiscal'!$B$13*E230)</f>
        <v>21841.3319014214</v>
      </c>
      <c r="L230" s="30" t="n">
        <f aca="false">'Mobility &amp; Emissions'!$B$21*B230*F230</f>
        <v>75.7966317431713</v>
      </c>
    </row>
    <row r="231" customFormat="false" ht="15" hidden="false" customHeight="true" outlineLevel="0" collapsed="false">
      <c r="A231" s="14" t="n">
        <v>227</v>
      </c>
      <c r="B231" s="47" t="n">
        <v>0.922696351558639</v>
      </c>
      <c r="C231" s="47" t="n">
        <v>0.980577084292872</v>
      </c>
      <c r="D231" s="47" t="n">
        <v>0.996067350610869</v>
      </c>
      <c r="E231" s="47" t="n">
        <v>1.00673317118851</v>
      </c>
      <c r="F231" s="47" t="n">
        <v>0.989185128515945</v>
      </c>
      <c r="G231" s="27" t="n">
        <f aca="false">'Visitor Economics'!$B$5*B231</f>
        <v>29710.8225201882</v>
      </c>
      <c r="H231" s="29" t="n">
        <f aca="false">MAX(0,'Visitor Economics'!$B$18*B231*C231*D231)</f>
        <v>652114.590932191</v>
      </c>
      <c r="I231" s="29" t="n">
        <f aca="false">H231*Controls!$B$52</f>
        <v>926002.719123712</v>
      </c>
      <c r="J231" s="29" t="n">
        <f aca="false">'City Fiscal'!$B$5+(H231*Controls!$B$56*Controls!$B$55)+('City Fiscal'!$B$9*B231*F231)</f>
        <v>146027.380667259</v>
      </c>
      <c r="K231" s="29" t="n">
        <f aca="false">J231-('City Fiscal'!$B$13*E231)</f>
        <v>35286.731836523</v>
      </c>
      <c r="L231" s="30" t="n">
        <f aca="false">'Mobility &amp; Emissions'!$B$21*B231*F231</f>
        <v>85.1854767438562</v>
      </c>
    </row>
    <row r="232" customFormat="false" ht="15" hidden="false" customHeight="true" outlineLevel="0" collapsed="false">
      <c r="A232" s="14" t="n">
        <v>228</v>
      </c>
      <c r="B232" s="47" t="n">
        <v>0.825457672619702</v>
      </c>
      <c r="C232" s="47" t="n">
        <v>1.01175028868399</v>
      </c>
      <c r="D232" s="47" t="n">
        <v>0.992934027341804</v>
      </c>
      <c r="E232" s="47" t="n">
        <v>1.0328853989249</v>
      </c>
      <c r="F232" s="47" t="n">
        <v>1.04110785152271</v>
      </c>
      <c r="G232" s="27" t="n">
        <f aca="false">'Visitor Economics'!$B$5*B232</f>
        <v>26579.7370583544</v>
      </c>
      <c r="H232" s="29" t="n">
        <f aca="false">MAX(0,'Visitor Economics'!$B$18*B232*C232*D232)</f>
        <v>600044.15435586</v>
      </c>
      <c r="I232" s="29" t="n">
        <f aca="false">H232*Controls!$B$52</f>
        <v>852062.699185321</v>
      </c>
      <c r="J232" s="29" t="n">
        <f aca="false">'City Fiscal'!$B$5+(H232*Controls!$B$56*Controls!$B$55)+('City Fiscal'!$B$9*B232*F232)</f>
        <v>140034.164500777</v>
      </c>
      <c r="K232" s="29" t="n">
        <f aca="false">J232-('City Fiscal'!$B$13*E232)</f>
        <v>26416.7706190384</v>
      </c>
      <c r="L232" s="30" t="n">
        <f aca="false">'Mobility &amp; Emissions'!$B$21*B232*F232</f>
        <v>80.2083729748853</v>
      </c>
    </row>
    <row r="233" customFormat="false" ht="15" hidden="false" customHeight="true" outlineLevel="0" collapsed="false">
      <c r="A233" s="14" t="n">
        <v>229</v>
      </c>
      <c r="B233" s="47" t="n">
        <v>0.964466226492341</v>
      </c>
      <c r="C233" s="47" t="n">
        <v>1.07530100672275</v>
      </c>
      <c r="D233" s="47" t="n">
        <v>0.955978123640412</v>
      </c>
      <c r="E233" s="47" t="n">
        <v>1.06818622164423</v>
      </c>
      <c r="F233" s="47" t="n">
        <v>0.983912284723994</v>
      </c>
      <c r="G233" s="27" t="n">
        <f aca="false">'Visitor Economics'!$B$5*B233</f>
        <v>31055.8124930534</v>
      </c>
      <c r="H233" s="29" t="n">
        <f aca="false">MAX(0,'Visitor Economics'!$B$18*B233*C233*D233)</f>
        <v>717397.23795771</v>
      </c>
      <c r="I233" s="29" t="n">
        <f aca="false">H233*Controls!$B$52</f>
        <v>1018704.07789995</v>
      </c>
      <c r="J233" s="29" t="n">
        <f aca="false">'City Fiscal'!$B$5+(H233*Controls!$B$56*Controls!$B$55)+('City Fiscal'!$B$9*B233*F233)</f>
        <v>150293.202779766</v>
      </c>
      <c r="K233" s="29" t="n">
        <f aca="false">J233-('City Fiscal'!$B$13*E233)</f>
        <v>32792.718398901</v>
      </c>
      <c r="L233" s="30" t="n">
        <f aca="false">'Mobility &amp; Emissions'!$B$21*B233*F233</f>
        <v>88.5671324364643</v>
      </c>
    </row>
    <row r="234" customFormat="false" ht="15" hidden="false" customHeight="true" outlineLevel="0" collapsed="false">
      <c r="A234" s="14" t="n">
        <v>230</v>
      </c>
      <c r="B234" s="47" t="n">
        <v>0.918693907580687</v>
      </c>
      <c r="C234" s="47" t="n">
        <v>1.00234797069324</v>
      </c>
      <c r="D234" s="47" t="n">
        <v>1.05115646854876</v>
      </c>
      <c r="E234" s="47" t="n">
        <v>1.18401704765623</v>
      </c>
      <c r="F234" s="47" t="n">
        <v>1.08870154977489</v>
      </c>
      <c r="G234" s="27" t="n">
        <f aca="false">'Visitor Economics'!$B$5*B234</f>
        <v>29581.9438240981</v>
      </c>
      <c r="H234" s="29" t="n">
        <f aca="false">MAX(0,'Visitor Economics'!$B$18*B234*C234*D234)</f>
        <v>700408.468689309</v>
      </c>
      <c r="I234" s="29" t="n">
        <f aca="false">H234*Controls!$B$52</f>
        <v>994580.025538819</v>
      </c>
      <c r="J234" s="29" t="n">
        <f aca="false">'City Fiscal'!$B$5+(H234*Controls!$B$56*Controls!$B$55)+('City Fiscal'!$B$9*B234*F234)</f>
        <v>155616.856637508</v>
      </c>
      <c r="K234" s="29" t="n">
        <f aca="false">J234-('City Fiscal'!$B$13*E234)</f>
        <v>25374.9813953228</v>
      </c>
      <c r="L234" s="30" t="n">
        <f aca="false">'Mobility &amp; Emissions'!$B$21*B234*F234</f>
        <v>93.3488245891532</v>
      </c>
    </row>
    <row r="235" customFormat="false" ht="15" hidden="false" customHeight="true" outlineLevel="0" collapsed="false">
      <c r="A235" s="14" t="n">
        <v>231</v>
      </c>
      <c r="B235" s="47" t="n">
        <v>0.793594116374373</v>
      </c>
      <c r="C235" s="47" t="n">
        <v>1.02970049834025</v>
      </c>
      <c r="D235" s="47" t="n">
        <v>1.04677291027031</v>
      </c>
      <c r="E235" s="47" t="n">
        <v>0.944263027486055</v>
      </c>
      <c r="F235" s="47" t="n">
        <v>0.945223421488623</v>
      </c>
      <c r="G235" s="27" t="n">
        <f aca="false">'Visitor Economics'!$B$5*B235</f>
        <v>25553.7305472548</v>
      </c>
      <c r="H235" s="29" t="n">
        <f aca="false">MAX(0,'Visitor Economics'!$B$18*B235*C235*D235)</f>
        <v>618951.338886103</v>
      </c>
      <c r="I235" s="29" t="n">
        <f aca="false">H235*Controls!$B$52</f>
        <v>878910.901218266</v>
      </c>
      <c r="J235" s="29" t="n">
        <f aca="false">'City Fiscal'!$B$5+(H235*Controls!$B$56*Controls!$B$55)+('City Fiscal'!$B$9*B235*F235)</f>
        <v>128567.991517035</v>
      </c>
      <c r="K235" s="29" t="n">
        <f aca="false">J235-('City Fiscal'!$B$13*E235)</f>
        <v>24699.0584935689</v>
      </c>
      <c r="L235" s="30" t="n">
        <f aca="false">'Mobility &amp; Emissions'!$B$21*B235*F235</f>
        <v>70.0103244201267</v>
      </c>
    </row>
    <row r="236" customFormat="false" ht="15" hidden="false" customHeight="true" outlineLevel="0" collapsed="false">
      <c r="A236" s="14" t="n">
        <v>232</v>
      </c>
      <c r="B236" s="47" t="n">
        <v>0.978</v>
      </c>
      <c r="C236" s="47" t="n">
        <v>0.97648961626894</v>
      </c>
      <c r="D236" s="47" t="n">
        <v>0.84309437375868</v>
      </c>
      <c r="E236" s="47" t="n">
        <v>0.988195422054228</v>
      </c>
      <c r="F236" s="47" t="n">
        <v>1.12275114681312</v>
      </c>
      <c r="G236" s="27" t="n">
        <f aca="false">'Visitor Economics'!$B$5*B236</f>
        <v>31491.6</v>
      </c>
      <c r="H236" s="29" t="n">
        <f aca="false">MAX(0,'Visitor Economics'!$B$18*B236*C236*D236)</f>
        <v>582609.208921544</v>
      </c>
      <c r="I236" s="29" t="n">
        <f aca="false">H236*Controls!$B$52</f>
        <v>827305.076668592</v>
      </c>
      <c r="J236" s="29" t="n">
        <f aca="false">'City Fiscal'!$B$5+(H236*Controls!$B$56*Controls!$B$55)+('City Fiscal'!$B$9*B236*F236)</f>
        <v>165233.184035652</v>
      </c>
      <c r="K236" s="29" t="n">
        <f aca="false">J236-('City Fiscal'!$B$13*E236)</f>
        <v>56531.6876096871</v>
      </c>
      <c r="L236" s="30" t="n">
        <f aca="false">'Mobility &amp; Emissions'!$B$21*B236*F236</f>
        <v>102.48293119842</v>
      </c>
    </row>
    <row r="237" customFormat="false" ht="15" hidden="false" customHeight="true" outlineLevel="0" collapsed="false">
      <c r="A237" s="14" t="n">
        <v>233</v>
      </c>
      <c r="B237" s="47" t="n">
        <v>0.926983872366132</v>
      </c>
      <c r="C237" s="47" t="n">
        <v>0.986195667813575</v>
      </c>
      <c r="D237" s="47" t="n">
        <v>1.02404923102587</v>
      </c>
      <c r="E237" s="47" t="n">
        <v>0.929707337949656</v>
      </c>
      <c r="F237" s="47" t="n">
        <v>0.892690748412273</v>
      </c>
      <c r="G237" s="27" t="n">
        <f aca="false">'Visitor Economics'!$B$5*B237</f>
        <v>29848.8806901895</v>
      </c>
      <c r="H237" s="29" t="n">
        <f aca="false">MAX(0,'Visitor Economics'!$B$18*B237*C237*D237)</f>
        <v>677408.706441733</v>
      </c>
      <c r="I237" s="29" t="n">
        <f aca="false">H237*Controls!$B$52</f>
        <v>961920.363147261</v>
      </c>
      <c r="J237" s="29" t="n">
        <f aca="false">'City Fiscal'!$B$5+(H237*Controls!$B$56*Controls!$B$55)+('City Fiscal'!$B$9*B237*F237)</f>
        <v>137154.276865536</v>
      </c>
      <c r="K237" s="29" t="n">
        <f aca="false">J237-('City Fiscal'!$B$13*E237)</f>
        <v>34886.4696910738</v>
      </c>
      <c r="L237" s="30" t="n">
        <f aca="false">'Mobility &amp; Emissions'!$B$21*B237*F237</f>
        <v>77.2329082340583</v>
      </c>
    </row>
    <row r="238" customFormat="false" ht="15" hidden="false" customHeight="true" outlineLevel="0" collapsed="false">
      <c r="A238" s="14" t="n">
        <v>234</v>
      </c>
      <c r="B238" s="47" t="n">
        <v>0.901520368663035</v>
      </c>
      <c r="C238" s="47" t="n">
        <v>0.933008849211024</v>
      </c>
      <c r="D238" s="47" t="n">
        <v>1.01338057983335</v>
      </c>
      <c r="E238" s="47" t="n">
        <v>1.14002841276039</v>
      </c>
      <c r="F238" s="47" t="n">
        <v>1.07853322450257</v>
      </c>
      <c r="G238" s="27" t="n">
        <f aca="false">'Visitor Economics'!$B$5*B238</f>
        <v>29028.9558709497</v>
      </c>
      <c r="H238" s="29" t="n">
        <f aca="false">MAX(0,'Visitor Economics'!$B$18*B238*C238*D238)</f>
        <v>616777.543948629</v>
      </c>
      <c r="I238" s="29" t="n">
        <f aca="false">H238*Controls!$B$52</f>
        <v>875824.112407052</v>
      </c>
      <c r="J238" s="29" t="n">
        <f aca="false">'City Fiscal'!$B$5+(H238*Controls!$B$56*Controls!$B$55)+('City Fiscal'!$B$9*B238*F238)</f>
        <v>152119.727303312</v>
      </c>
      <c r="K238" s="29" t="n">
        <f aca="false">J238-('City Fiscal'!$B$13*E238)</f>
        <v>26716.6018996689</v>
      </c>
      <c r="L238" s="30" t="n">
        <f aca="false">'Mobility &amp; Emissions'!$B$21*B238*F238</f>
        <v>90.7482477603017</v>
      </c>
    </row>
    <row r="239" customFormat="false" ht="15" hidden="false" customHeight="true" outlineLevel="0" collapsed="false">
      <c r="A239" s="14" t="n">
        <v>235</v>
      </c>
      <c r="B239" s="47" t="n">
        <v>0.939427051686065</v>
      </c>
      <c r="C239" s="47" t="n">
        <v>0.975450956896379</v>
      </c>
      <c r="D239" s="47" t="n">
        <v>0.987024877732122</v>
      </c>
      <c r="E239" s="47" t="n">
        <v>1.03967584541951</v>
      </c>
      <c r="F239" s="47" t="n">
        <v>0.931470853684002</v>
      </c>
      <c r="G239" s="27" t="n">
        <f aca="false">'Visitor Economics'!$B$5*B239</f>
        <v>30249.5510642913</v>
      </c>
      <c r="H239" s="29" t="n">
        <f aca="false">MAX(0,'Visitor Economics'!$B$18*B239*C239*D239)</f>
        <v>654472.299378856</v>
      </c>
      <c r="I239" s="29" t="n">
        <f aca="false">H239*Controls!$B$52</f>
        <v>929350.665117975</v>
      </c>
      <c r="J239" s="29" t="n">
        <f aca="false">'City Fiscal'!$B$5+(H239*Controls!$B$56*Controls!$B$55)+('City Fiscal'!$B$9*B239*F239)</f>
        <v>142047.57491153</v>
      </c>
      <c r="K239" s="29" t="n">
        <f aca="false">J239-('City Fiscal'!$B$13*E239)</f>
        <v>27683.2319153837</v>
      </c>
      <c r="L239" s="30" t="n">
        <f aca="false">'Mobility &amp; Emissions'!$B$21*B239*F239</f>
        <v>81.6698030821682</v>
      </c>
    </row>
    <row r="240" customFormat="false" ht="15" hidden="false" customHeight="true" outlineLevel="0" collapsed="false">
      <c r="A240" s="14" t="n">
        <v>236</v>
      </c>
      <c r="B240" s="47" t="n">
        <v>0.860632499651195</v>
      </c>
      <c r="C240" s="47" t="n">
        <v>0.877157676649773</v>
      </c>
      <c r="D240" s="47" t="n">
        <v>1.09498790369781</v>
      </c>
      <c r="E240" s="47" t="n">
        <v>0.964695196879509</v>
      </c>
      <c r="F240" s="47" t="n">
        <v>1.0459687546936</v>
      </c>
      <c r="G240" s="27" t="n">
        <f aca="false">'Visitor Economics'!$B$5*B240</f>
        <v>27712.3664887685</v>
      </c>
      <c r="H240" s="29" t="n">
        <f aca="false">MAX(0,'Visitor Economics'!$B$18*B240*C240*D240)</f>
        <v>598135.255902165</v>
      </c>
      <c r="I240" s="29" t="n">
        <f aca="false">H240*Controls!$B$52</f>
        <v>849352.063381074</v>
      </c>
      <c r="J240" s="29" t="n">
        <f aca="false">'City Fiscal'!$B$5+(H240*Controls!$B$56*Controls!$B$55)+('City Fiscal'!$B$9*B240*F240)</f>
        <v>144349.441511455</v>
      </c>
      <c r="K240" s="29" t="n">
        <f aca="false">J240-('City Fiscal'!$B$13*E240)</f>
        <v>38232.9698547088</v>
      </c>
      <c r="L240" s="30" t="n">
        <f aca="false">'Mobility &amp; Emissions'!$B$21*B240*F240</f>
        <v>84.0167020468237</v>
      </c>
    </row>
    <row r="241" customFormat="false" ht="15" hidden="false" customHeight="true" outlineLevel="0" collapsed="false">
      <c r="A241" s="14" t="n">
        <v>237</v>
      </c>
      <c r="B241" s="47" t="n">
        <v>0.942928604528009</v>
      </c>
      <c r="C241" s="47" t="n">
        <v>1.01275262240968</v>
      </c>
      <c r="D241" s="47" t="n">
        <v>0.934716191783536</v>
      </c>
      <c r="E241" s="47" t="n">
        <v>0.991160451039368</v>
      </c>
      <c r="F241" s="47" t="n">
        <v>0.969530330878819</v>
      </c>
      <c r="G241" s="27" t="n">
        <f aca="false">'Visitor Economics'!$B$5*B241</f>
        <v>30362.3010658019</v>
      </c>
      <c r="H241" s="29" t="n">
        <f aca="false">MAX(0,'Visitor Economics'!$B$18*B241*C241*D241)</f>
        <v>645887.117594309</v>
      </c>
      <c r="I241" s="29" t="n">
        <f aca="false">H241*Controls!$B$52</f>
        <v>917159.706983919</v>
      </c>
      <c r="J241" s="29" t="n">
        <f aca="false">'City Fiscal'!$B$5+(H241*Controls!$B$56*Controls!$B$55)+('City Fiscal'!$B$9*B241*F241)</f>
        <v>146144.033133549</v>
      </c>
      <c r="K241" s="29" t="n">
        <f aca="false">J241-('City Fiscal'!$B$13*E241)</f>
        <v>37116.383519218</v>
      </c>
      <c r="L241" s="30" t="n">
        <f aca="false">'Mobility &amp; Emissions'!$B$21*B241*F241</f>
        <v>85.3236424581529</v>
      </c>
    </row>
    <row r="242" customFormat="false" ht="15" hidden="false" customHeight="true" outlineLevel="0" collapsed="false">
      <c r="A242" s="14" t="n">
        <v>238</v>
      </c>
      <c r="B242" s="47" t="n">
        <v>0.925321596971643</v>
      </c>
      <c r="C242" s="47" t="n">
        <v>1.04762597150911</v>
      </c>
      <c r="D242" s="47" t="n">
        <v>0.985017316341815</v>
      </c>
      <c r="E242" s="47" t="n">
        <v>0.95671905499966</v>
      </c>
      <c r="F242" s="47" t="n">
        <v>1.09654441095638</v>
      </c>
      <c r="G242" s="27" t="n">
        <f aca="false">'Visitor Economics'!$B$5*B242</f>
        <v>29795.3554224869</v>
      </c>
      <c r="H242" s="29" t="n">
        <f aca="false">MAX(0,'Visitor Economics'!$B$18*B242*C242*D242)</f>
        <v>690935.47276065</v>
      </c>
      <c r="I242" s="29" t="n">
        <f aca="false">H242*Controls!$B$52</f>
        <v>981128.371320124</v>
      </c>
      <c r="J242" s="29" t="n">
        <f aca="false">'City Fiscal'!$B$5+(H242*Controls!$B$56*Controls!$B$55)+('City Fiscal'!$B$9*B242*F242)</f>
        <v>157090.432819365</v>
      </c>
      <c r="K242" s="29" t="n">
        <f aca="false">J242-('City Fiscal'!$B$13*E242)</f>
        <v>51851.336769402</v>
      </c>
      <c r="L242" s="30" t="n">
        <f aca="false">'Mobility &amp; Emissions'!$B$21*B242*F242</f>
        <v>94.6995904411705</v>
      </c>
    </row>
    <row r="243" customFormat="false" ht="15" hidden="false" customHeight="true" outlineLevel="0" collapsed="false">
      <c r="A243" s="14" t="n">
        <v>239</v>
      </c>
      <c r="B243" s="47" t="n">
        <v>0.918572724588932</v>
      </c>
      <c r="C243" s="47" t="n">
        <v>0.914535707539532</v>
      </c>
      <c r="D243" s="47" t="n">
        <v>1.06461189358538</v>
      </c>
      <c r="E243" s="47" t="n">
        <v>1.03313310533878</v>
      </c>
      <c r="F243" s="47" t="n">
        <v>0.899066281701388</v>
      </c>
      <c r="G243" s="27" t="n">
        <f aca="false">'Visitor Economics'!$B$5*B243</f>
        <v>29578.0417317636</v>
      </c>
      <c r="H243" s="29" t="n">
        <f aca="false">MAX(0,'Visitor Economics'!$B$18*B243*C243*D243)</f>
        <v>647142.907586696</v>
      </c>
      <c r="I243" s="29" t="n">
        <f aca="false">H243*Controls!$B$52</f>
        <v>918942.928773108</v>
      </c>
      <c r="J243" s="29" t="n">
        <f aca="false">'City Fiscal'!$B$5+(H243*Controls!$B$56*Controls!$B$55)+('City Fiscal'!$B$9*B243*F243)</f>
        <v>136782.928165454</v>
      </c>
      <c r="K243" s="29" t="n">
        <f aca="false">J243-('City Fiscal'!$B$13*E243)</f>
        <v>23138.2865781885</v>
      </c>
      <c r="L243" s="30" t="n">
        <f aca="false">'Mobility &amp; Emissions'!$B$21*B243*F243</f>
        <v>77.0787090693774</v>
      </c>
    </row>
    <row r="244" customFormat="false" ht="15" hidden="false" customHeight="true" outlineLevel="0" collapsed="false">
      <c r="A244" s="14" t="n">
        <v>240</v>
      </c>
      <c r="B244" s="47" t="n">
        <v>0.804248711305964</v>
      </c>
      <c r="C244" s="47" t="n">
        <v>0.926362587407415</v>
      </c>
      <c r="D244" s="47" t="n">
        <v>0.82003373577372</v>
      </c>
      <c r="E244" s="47" t="n">
        <v>1.08074058371836</v>
      </c>
      <c r="F244" s="47" t="n">
        <v>0.958270494595712</v>
      </c>
      <c r="G244" s="27" t="n">
        <f aca="false">'Visitor Economics'!$B$5*B244</f>
        <v>25896.808504052</v>
      </c>
      <c r="H244" s="29" t="n">
        <f aca="false">MAX(0,'Visitor Economics'!$B$18*B244*C244*D244)</f>
        <v>442076.846637041</v>
      </c>
      <c r="I244" s="29" t="n">
        <f aca="false">H244*Controls!$B$52</f>
        <v>627749.122224598</v>
      </c>
      <c r="J244" s="29" t="n">
        <f aca="false">'City Fiscal'!$B$5+(H244*Controls!$B$56*Controls!$B$55)+('City Fiscal'!$B$9*B244*F244)</f>
        <v>129602.843773347</v>
      </c>
      <c r="K244" s="29" t="n">
        <f aca="false">J244-('City Fiscal'!$B$13*E244)</f>
        <v>10721.379564327</v>
      </c>
      <c r="L244" s="30" t="n">
        <f aca="false">'Mobility &amp; Emissions'!$B$21*B244*F244</f>
        <v>71.9296035102819</v>
      </c>
    </row>
    <row r="245" customFormat="false" ht="15" hidden="false" customHeight="true" outlineLevel="0" collapsed="false">
      <c r="A245" s="14" t="n">
        <v>241</v>
      </c>
      <c r="B245" s="47" t="n">
        <v>0.941387023971866</v>
      </c>
      <c r="C245" s="47" t="n">
        <v>0.920354372102066</v>
      </c>
      <c r="D245" s="47" t="n">
        <v>0.834285357141682</v>
      </c>
      <c r="E245" s="47" t="n">
        <v>0.964427490458015</v>
      </c>
      <c r="F245" s="47" t="n">
        <v>0.97999038425976</v>
      </c>
      <c r="G245" s="27" t="n">
        <f aca="false">'Visitor Economics'!$B$5*B245</f>
        <v>30312.6621718941</v>
      </c>
      <c r="H245" s="29" t="n">
        <f aca="false">MAX(0,'Visitor Economics'!$B$18*B245*C245*D245)</f>
        <v>523037.199892435</v>
      </c>
      <c r="I245" s="29" t="n">
        <f aca="false">H245*Controls!$B$52</f>
        <v>742712.823847257</v>
      </c>
      <c r="J245" s="29" t="n">
        <f aca="false">'City Fiscal'!$B$5+(H245*Controls!$B$56*Controls!$B$55)+('City Fiscal'!$B$9*B245*F245)</f>
        <v>146233.805405485</v>
      </c>
      <c r="K245" s="29" t="n">
        <f aca="false">J245-('City Fiscal'!$B$13*E245)</f>
        <v>40146.7814551038</v>
      </c>
      <c r="L245" s="30" t="n">
        <f aca="false">'Mobility &amp; Emissions'!$B$21*B245*F245</f>
        <v>86.1031814281606</v>
      </c>
    </row>
    <row r="246" customFormat="false" ht="15" hidden="false" customHeight="true" outlineLevel="0" collapsed="false">
      <c r="A246" s="14" t="n">
        <v>242</v>
      </c>
      <c r="B246" s="47" t="n">
        <v>0.974700993388376</v>
      </c>
      <c r="C246" s="47" t="n">
        <v>0.971046350502089</v>
      </c>
      <c r="D246" s="47" t="n">
        <v>1.03388371185864</v>
      </c>
      <c r="E246" s="47" t="n">
        <v>1.01665744065859</v>
      </c>
      <c r="F246" s="47" t="n">
        <v>1.09696699141101</v>
      </c>
      <c r="G246" s="27" t="n">
        <f aca="false">'Visitor Economics'!$B$5*B246</f>
        <v>31385.3719871057</v>
      </c>
      <c r="H246" s="29" t="n">
        <f aca="false">MAX(0,'Visitor Economics'!$B$18*B246*C246*D246)</f>
        <v>708072.507067941</v>
      </c>
      <c r="I246" s="29" t="n">
        <f aca="false">H246*Controls!$B$52</f>
        <v>1005462.96003648</v>
      </c>
      <c r="J246" s="29" t="n">
        <f aca="false">'City Fiscal'!$B$5+(H246*Controls!$B$56*Controls!$B$55)+('City Fiscal'!$B$9*B246*F246)</f>
        <v>162987.896737967</v>
      </c>
      <c r="K246" s="29" t="n">
        <f aca="false">J246-('City Fiscal'!$B$13*E246)</f>
        <v>51155.578265522</v>
      </c>
      <c r="L246" s="30" t="n">
        <f aca="false">'Mobility &amp; Emissions'!$B$21*B246*F246</f>
        <v>99.7916364651067</v>
      </c>
    </row>
    <row r="247" customFormat="false" ht="15" hidden="false" customHeight="true" outlineLevel="0" collapsed="false">
      <c r="A247" s="14" t="n">
        <v>243</v>
      </c>
      <c r="B247" s="47" t="n">
        <v>0.910968698550455</v>
      </c>
      <c r="C247" s="47" t="n">
        <v>0.945678160393921</v>
      </c>
      <c r="D247" s="47" t="n">
        <v>1.04276522975138</v>
      </c>
      <c r="E247" s="47" t="n">
        <v>1.07116697732242</v>
      </c>
      <c r="F247" s="47" t="n">
        <v>1.02567180528939</v>
      </c>
      <c r="G247" s="27" t="n">
        <f aca="false">'Visitor Economics'!$B$5*B247</f>
        <v>29333.1920933247</v>
      </c>
      <c r="H247" s="29" t="n">
        <f aca="false">MAX(0,'Visitor Economics'!$B$18*B247*C247*D247)</f>
        <v>650021.954473112</v>
      </c>
      <c r="I247" s="29" t="n">
        <f aca="false">H247*Controls!$B$52</f>
        <v>923031.17535182</v>
      </c>
      <c r="J247" s="29" t="n">
        <f aca="false">'City Fiscal'!$B$5+(H247*Controls!$B$56*Controls!$B$55)+('City Fiscal'!$B$9*B247*F247)</f>
        <v>148308.656033988</v>
      </c>
      <c r="K247" s="29" t="n">
        <f aca="false">J247-('City Fiscal'!$B$13*E247)</f>
        <v>30480.2885285222</v>
      </c>
      <c r="L247" s="30" t="n">
        <f aca="false">'Mobility &amp; Emissions'!$B$21*B247*F247</f>
        <v>87.2049321167223</v>
      </c>
    </row>
    <row r="248" customFormat="false" ht="15" hidden="false" customHeight="true" outlineLevel="0" collapsed="false">
      <c r="A248" s="14" t="n">
        <v>244</v>
      </c>
      <c r="B248" s="47" t="n">
        <v>0.918814984781903</v>
      </c>
      <c r="C248" s="47" t="n">
        <v>0.923532603560424</v>
      </c>
      <c r="D248" s="47" t="n">
        <v>0.991472220397857</v>
      </c>
      <c r="E248" s="47" t="n">
        <v>0.972254063985169</v>
      </c>
      <c r="F248" s="47" t="n">
        <v>0.935513156882435</v>
      </c>
      <c r="G248" s="27" t="n">
        <f aca="false">'Visitor Economics'!$B$5*B248</f>
        <v>29585.8425099773</v>
      </c>
      <c r="H248" s="29" t="n">
        <f aca="false">MAX(0,'Visitor Economics'!$B$18*B248*C248*D248)</f>
        <v>608773.194565673</v>
      </c>
      <c r="I248" s="29" t="n">
        <f aca="false">H248*Controls!$B$52</f>
        <v>864457.936283256</v>
      </c>
      <c r="J248" s="29" t="n">
        <f aca="false">'City Fiscal'!$B$5+(H248*Controls!$B$56*Controls!$B$55)+('City Fiscal'!$B$9*B248*F248)</f>
        <v>140109.081399268</v>
      </c>
      <c r="K248" s="29" t="n">
        <f aca="false">J248-('City Fiscal'!$B$13*E248)</f>
        <v>33161.1343608992</v>
      </c>
      <c r="L248" s="30" t="n">
        <f aca="false">'Mobility &amp; Emissions'!$B$21*B248*F248</f>
        <v>80.2245233666643</v>
      </c>
    </row>
    <row r="249" customFormat="false" ht="15" hidden="false" customHeight="true" outlineLevel="0" collapsed="false">
      <c r="A249" s="14" t="n">
        <v>245</v>
      </c>
      <c r="B249" s="47" t="n">
        <v>0.848217299858614</v>
      </c>
      <c r="C249" s="47" t="n">
        <v>0.974230347208324</v>
      </c>
      <c r="D249" s="47" t="n">
        <v>1.02851354443217</v>
      </c>
      <c r="E249" s="47" t="n">
        <v>0.976515494440646</v>
      </c>
      <c r="F249" s="47" t="n">
        <v>0.968585412256314</v>
      </c>
      <c r="G249" s="27" t="n">
        <f aca="false">'Visitor Economics'!$B$5*B249</f>
        <v>27312.5970554474</v>
      </c>
      <c r="H249" s="29" t="n">
        <f aca="false">MAX(0,'Visitor Economics'!$B$18*B249*C249*D249)</f>
        <v>614997.661523913</v>
      </c>
      <c r="I249" s="29" t="n">
        <f aca="false">H249*Controls!$B$52</f>
        <v>873296.679363957</v>
      </c>
      <c r="J249" s="29" t="n">
        <f aca="false">'City Fiscal'!$B$5+(H249*Controls!$B$56*Controls!$B$55)+('City Fiscal'!$B$9*B249*F249)</f>
        <v>136119.967862278</v>
      </c>
      <c r="K249" s="29" t="n">
        <f aca="false">J249-('City Fiscal'!$B$13*E249)</f>
        <v>28703.2634738073</v>
      </c>
      <c r="L249" s="30" t="n">
        <f aca="false">'Mobility &amp; Emissions'!$B$21*B249*F249</f>
        <v>76.678609053731</v>
      </c>
    </row>
    <row r="250" customFormat="false" ht="15" hidden="false" customHeight="true" outlineLevel="0" collapsed="false">
      <c r="A250" s="14" t="n">
        <v>246</v>
      </c>
      <c r="B250" s="47" t="n">
        <v>0.860214711867587</v>
      </c>
      <c r="C250" s="47" t="n">
        <v>0.9699699969994</v>
      </c>
      <c r="D250" s="47" t="n">
        <v>0.916615152893081</v>
      </c>
      <c r="E250" s="47" t="n">
        <v>0.96199542246143</v>
      </c>
      <c r="F250" s="47" t="n">
        <v>0.963148132993877</v>
      </c>
      <c r="G250" s="27" t="n">
        <f aca="false">'Visitor Economics'!$B$5*B250</f>
        <v>27698.9137221363</v>
      </c>
      <c r="H250" s="29" t="n">
        <f aca="false">MAX(0,'Visitor Economics'!$B$18*B250*C250*D250)</f>
        <v>553409.829605085</v>
      </c>
      <c r="I250" s="29" t="n">
        <f aca="false">H250*Controls!$B$52</f>
        <v>785841.95803922</v>
      </c>
      <c r="J250" s="29" t="n">
        <f aca="false">'City Fiscal'!$B$5+(H250*Controls!$B$56*Controls!$B$55)+('City Fiscal'!$B$9*B250*F250)</f>
        <v>136457.275437889</v>
      </c>
      <c r="K250" s="29" t="n">
        <f aca="false">J250-('City Fiscal'!$B$13*E250)</f>
        <v>30637.7789671321</v>
      </c>
      <c r="L250" s="30" t="n">
        <f aca="false">'Mobility &amp; Emissions'!$B$21*B250*F250</f>
        <v>77.3266381730026</v>
      </c>
    </row>
    <row r="251" customFormat="false" ht="15" hidden="false" customHeight="true" outlineLevel="0" collapsed="false">
      <c r="A251" s="14" t="n">
        <v>247</v>
      </c>
      <c r="B251" s="47" t="n">
        <v>0.792296340919152</v>
      </c>
      <c r="C251" s="47" t="n">
        <v>1.09637797637797</v>
      </c>
      <c r="D251" s="47" t="n">
        <v>1.19634601599135</v>
      </c>
      <c r="E251" s="47" t="n">
        <v>1.08590018281546</v>
      </c>
      <c r="F251" s="47" t="n">
        <v>1.04771363727261</v>
      </c>
      <c r="G251" s="27" t="n">
        <f aca="false">'Visitor Economics'!$B$5*B251</f>
        <v>25511.9421775967</v>
      </c>
      <c r="H251" s="29" t="n">
        <f aca="false">MAX(0,'Visitor Economics'!$B$18*B251*C251*D251)</f>
        <v>751968.122727367</v>
      </c>
      <c r="I251" s="29" t="n">
        <f aca="false">H251*Controls!$B$52</f>
        <v>1067794.73427286</v>
      </c>
      <c r="J251" s="29" t="n">
        <f aca="false">'City Fiscal'!$B$5+(H251*Controls!$B$56*Controls!$B$55)+('City Fiscal'!$B$9*B251*F251)</f>
        <v>137912.087992612</v>
      </c>
      <c r="K251" s="29" t="n">
        <f aca="false">J251-('City Fiscal'!$B$13*E251)</f>
        <v>18463.0678829114</v>
      </c>
      <c r="L251" s="30" t="n">
        <f aca="false">'Mobility &amp; Emissions'!$B$21*B251*F251</f>
        <v>77.474614410458</v>
      </c>
    </row>
    <row r="252" customFormat="false" ht="15" hidden="false" customHeight="true" outlineLevel="0" collapsed="false">
      <c r="A252" s="14" t="n">
        <v>248</v>
      </c>
      <c r="B252" s="47" t="n">
        <v>0.902072109836768</v>
      </c>
      <c r="C252" s="47" t="n">
        <v>1.01512865024231</v>
      </c>
      <c r="D252" s="47" t="n">
        <v>0.888808547458368</v>
      </c>
      <c r="E252" s="47" t="n">
        <v>1.14554307107712</v>
      </c>
      <c r="F252" s="47" t="n">
        <v>0.912028219384406</v>
      </c>
      <c r="G252" s="27" t="n">
        <f aca="false">'Visitor Economics'!$B$5*B252</f>
        <v>29046.7219367439</v>
      </c>
      <c r="H252" s="29" t="n">
        <f aca="false">MAX(0,'Visitor Economics'!$B$18*B252*C252*D252)</f>
        <v>588932.10863303</v>
      </c>
      <c r="I252" s="29" t="n">
        <f aca="false">H252*Controls!$B$52</f>
        <v>836283.594258903</v>
      </c>
      <c r="J252" s="29" t="n">
        <f aca="false">'City Fiscal'!$B$5+(H252*Controls!$B$56*Controls!$B$55)+('City Fiscal'!$B$9*B252*F252)</f>
        <v>136072.427912743</v>
      </c>
      <c r="K252" s="29" t="n">
        <f aca="false">J252-('City Fiscal'!$B$13*E252)</f>
        <v>10062.6900942599</v>
      </c>
      <c r="L252" s="30" t="n">
        <f aca="false">'Mobility &amp; Emissions'!$B$21*B252*F252</f>
        <v>76.785410106945</v>
      </c>
    </row>
    <row r="253" customFormat="false" ht="15" hidden="false" customHeight="true" outlineLevel="0" collapsed="false">
      <c r="A253" s="14" t="n">
        <v>249</v>
      </c>
      <c r="B253" s="47" t="n">
        <v>0.806244999523719</v>
      </c>
      <c r="C253" s="47" t="n">
        <v>1.01826505025312</v>
      </c>
      <c r="D253" s="47" t="n">
        <v>0.897929216057769</v>
      </c>
      <c r="E253" s="47" t="n">
        <v>0.940146160987357</v>
      </c>
      <c r="F253" s="47" t="n">
        <v>1.08410235209053</v>
      </c>
      <c r="G253" s="27" t="n">
        <f aca="false">'Visitor Economics'!$B$5*B253</f>
        <v>25961.0889846638</v>
      </c>
      <c r="H253" s="29" t="n">
        <f aca="false">MAX(0,'Visitor Economics'!$B$18*B253*C253*D253)</f>
        <v>533414.287325748</v>
      </c>
      <c r="I253" s="29" t="n">
        <f aca="false">H253*Controls!$B$52</f>
        <v>757448.288002562</v>
      </c>
      <c r="J253" s="29" t="n">
        <f aca="false">'City Fiscal'!$B$5+(H253*Controls!$B$56*Controls!$B$55)+('City Fiscal'!$B$9*B253*F253)</f>
        <v>141157.397779325</v>
      </c>
      <c r="K253" s="29" t="n">
        <f aca="false">J253-('City Fiscal'!$B$13*E253)</f>
        <v>37741.3200707154</v>
      </c>
      <c r="L253" s="30" t="n">
        <f aca="false">'Mobility &amp; Emissions'!$B$21*B253*F253</f>
        <v>81.5767684137594</v>
      </c>
    </row>
    <row r="254" customFormat="false" ht="15" hidden="false" customHeight="true" outlineLevel="0" collapsed="false">
      <c r="A254" s="14" t="n">
        <v>250</v>
      </c>
      <c r="B254" s="47" t="n">
        <v>0.864697107388623</v>
      </c>
      <c r="C254" s="47" t="n">
        <v>1.04398684324408</v>
      </c>
      <c r="D254" s="47" t="n">
        <v>1.16294398355082</v>
      </c>
      <c r="E254" s="47" t="n">
        <v>0.927929143422896</v>
      </c>
      <c r="F254" s="47" t="n">
        <v>1.02334100900449</v>
      </c>
      <c r="G254" s="27" t="n">
        <f aca="false">'Visitor Economics'!$B$5*B254</f>
        <v>27843.2468579137</v>
      </c>
      <c r="H254" s="29" t="n">
        <f aca="false">MAX(0,'Visitor Economics'!$B$18*B254*C254*D254)</f>
        <v>759648.172689097</v>
      </c>
      <c r="I254" s="29" t="n">
        <f aca="false">H254*Controls!$B$52</f>
        <v>1078700.40521852</v>
      </c>
      <c r="J254" s="29" t="n">
        <f aca="false">'City Fiscal'!$B$5+(H254*Controls!$B$56*Controls!$B$55)+('City Fiscal'!$B$9*B254*F254)</f>
        <v>143771.787957618</v>
      </c>
      <c r="K254" s="29" t="n">
        <f aca="false">J254-('City Fiscal'!$B$13*E254)</f>
        <v>41699.5821810991</v>
      </c>
      <c r="L254" s="30" t="n">
        <f aca="false">'Mobility &amp; Emissions'!$B$21*B254*F254</f>
        <v>82.5873556627613</v>
      </c>
    </row>
    <row r="255" customFormat="false" ht="15" hidden="false" customHeight="true" outlineLevel="0" collapsed="false">
      <c r="A255" s="14" t="n">
        <v>251</v>
      </c>
      <c r="B255" s="47" t="n">
        <v>0.82655319537905</v>
      </c>
      <c r="C255" s="47" t="n">
        <v>0.980745139895426</v>
      </c>
      <c r="D255" s="47" t="n">
        <v>1.05293719275317</v>
      </c>
      <c r="E255" s="47" t="n">
        <v>0.869377120207643</v>
      </c>
      <c r="F255" s="47" t="n">
        <v>0.944749670184123</v>
      </c>
      <c r="G255" s="27" t="n">
        <f aca="false">'Visitor Economics'!$B$5*B255</f>
        <v>26615.0128912054</v>
      </c>
      <c r="H255" s="29" t="n">
        <f aca="false">MAX(0,'Visitor Economics'!$B$18*B255*C255*D255)</f>
        <v>617623.923399052</v>
      </c>
      <c r="I255" s="29" t="n">
        <f aca="false">H255*Controls!$B$52</f>
        <v>877025.971226653</v>
      </c>
      <c r="J255" s="29" t="n">
        <f aca="false">'City Fiscal'!$B$5+(H255*Controls!$B$56*Controls!$B$55)+('City Fiscal'!$B$9*B255*F255)</f>
        <v>131821.981092569</v>
      </c>
      <c r="K255" s="29" t="n">
        <f aca="false">J255-('City Fiscal'!$B$13*E255)</f>
        <v>36190.4978697282</v>
      </c>
      <c r="L255" s="30" t="n">
        <f aca="false">'Mobility &amp; Emissions'!$B$21*B255*F255</f>
        <v>72.8814047006699</v>
      </c>
    </row>
    <row r="256" customFormat="false" ht="15" hidden="false" customHeight="true" outlineLevel="0" collapsed="false">
      <c r="A256" s="14" t="n">
        <v>252</v>
      </c>
      <c r="B256" s="47" t="n">
        <v>0.897585713417915</v>
      </c>
      <c r="C256" s="47" t="n">
        <v>0.852449961479176</v>
      </c>
      <c r="D256" s="47" t="n">
        <v>0.932019406655861</v>
      </c>
      <c r="E256" s="47" t="n">
        <v>0.990480790706754</v>
      </c>
      <c r="F256" s="47" t="n">
        <v>0.981709908511091</v>
      </c>
      <c r="G256" s="27" t="n">
        <f aca="false">'Visitor Economics'!$B$5*B256</f>
        <v>28902.2599720569</v>
      </c>
      <c r="H256" s="29" t="n">
        <f aca="false">MAX(0,'Visitor Economics'!$B$18*B256*C256*D256)</f>
        <v>516017.525573447</v>
      </c>
      <c r="I256" s="29" t="n">
        <f aca="false">H256*Controls!$B$52</f>
        <v>732744.886314295</v>
      </c>
      <c r="J256" s="29" t="n">
        <f aca="false">'City Fiscal'!$B$5+(H256*Controls!$B$56*Controls!$B$55)+('City Fiscal'!$B$9*B256*F256)</f>
        <v>141799.453823685</v>
      </c>
      <c r="K256" s="29" t="n">
        <f aca="false">J256-('City Fiscal'!$B$13*E256)</f>
        <v>32846.5668459418</v>
      </c>
      <c r="L256" s="30" t="n">
        <f aca="false">'Mobility &amp; Emissions'!$B$21*B256*F256</f>
        <v>82.2409810270126</v>
      </c>
    </row>
    <row r="257" customFormat="false" ht="15" hidden="false" customHeight="true" outlineLevel="0" collapsed="false">
      <c r="A257" s="14" t="n">
        <v>253</v>
      </c>
      <c r="B257" s="47" t="n">
        <v>0.880649888226466</v>
      </c>
      <c r="C257" s="47" t="n">
        <v>1.00435398839562</v>
      </c>
      <c r="D257" s="47" t="n">
        <v>1.07571933555325</v>
      </c>
      <c r="E257" s="47" t="n">
        <v>1.01413722209725</v>
      </c>
      <c r="F257" s="47" t="n">
        <v>0.967249733475177</v>
      </c>
      <c r="G257" s="27" t="n">
        <f aca="false">'Visitor Economics'!$B$5*B257</f>
        <v>28356.9264008922</v>
      </c>
      <c r="H257" s="29" t="n">
        <f aca="false">MAX(0,'Visitor Economics'!$B$18*B257*C257*D257)</f>
        <v>688467.965602873</v>
      </c>
      <c r="I257" s="29" t="n">
        <f aca="false">H257*Controls!$B$52</f>
        <v>977624.511156079</v>
      </c>
      <c r="J257" s="29" t="n">
        <f aca="false">'City Fiscal'!$B$5+(H257*Controls!$B$56*Controls!$B$55)+('City Fiscal'!$B$9*B257*F257)</f>
        <v>139803.003344056</v>
      </c>
      <c r="K257" s="29" t="n">
        <f aca="false">J257-('City Fiscal'!$B$13*E257)</f>
        <v>28247.9089133587</v>
      </c>
      <c r="L257" s="30" t="n">
        <f aca="false">'Mobility &amp; Emissions'!$B$21*B257*F257</f>
        <v>79.5007232157156</v>
      </c>
    </row>
    <row r="258" customFormat="false" ht="15" hidden="false" customHeight="true" outlineLevel="0" collapsed="false">
      <c r="A258" s="14" t="n">
        <v>254</v>
      </c>
      <c r="B258" s="47" t="n">
        <v>0.885856506649332</v>
      </c>
      <c r="C258" s="47" t="n">
        <v>0.923793063352037</v>
      </c>
      <c r="D258" s="47" t="n">
        <v>0.921449284197553</v>
      </c>
      <c r="E258" s="47" t="n">
        <v>1.04198858204416</v>
      </c>
      <c r="F258" s="47" t="n">
        <v>1.09570911678744</v>
      </c>
      <c r="G258" s="27" t="n">
        <f aca="false">'Visitor Economics'!$B$5*B258</f>
        <v>28524.5795141085</v>
      </c>
      <c r="H258" s="29" t="n">
        <f aca="false">MAX(0,'Visitor Economics'!$B$18*B258*C258*D258)</f>
        <v>545637.4653897</v>
      </c>
      <c r="I258" s="29" t="n">
        <f aca="false">H258*Controls!$B$52</f>
        <v>774805.200853374</v>
      </c>
      <c r="J258" s="29" t="n">
        <f aca="false">'City Fiscal'!$B$5+(H258*Controls!$B$56*Controls!$B$55)+('City Fiscal'!$B$9*B258*F258)</f>
        <v>151480.707290564</v>
      </c>
      <c r="K258" s="29" t="n">
        <f aca="false">J258-('City Fiscal'!$B$13*E258)</f>
        <v>36861.9632657061</v>
      </c>
      <c r="L258" s="30" t="n">
        <f aca="false">'Mobility &amp; Emissions'!$B$21*B258*F258</f>
        <v>90.5915793330579</v>
      </c>
    </row>
    <row r="259" customFormat="false" ht="15" hidden="false" customHeight="true" outlineLevel="0" collapsed="false">
      <c r="A259" s="14" t="n">
        <v>255</v>
      </c>
      <c r="B259" s="47" t="n">
        <v>0.860423877051532</v>
      </c>
      <c r="C259" s="47" t="n">
        <v>0.887948509917437</v>
      </c>
      <c r="D259" s="47" t="n">
        <v>0.914325351293045</v>
      </c>
      <c r="E259" s="47" t="n">
        <v>0.95327903060872</v>
      </c>
      <c r="F259" s="47" t="n">
        <v>1.00511211230748</v>
      </c>
      <c r="G259" s="27" t="n">
        <f aca="false">'Visitor Economics'!$B$5*B259</f>
        <v>27705.6488410593</v>
      </c>
      <c r="H259" s="29" t="n">
        <f aca="false">MAX(0,'Visitor Economics'!$B$18*B259*C259*D259)</f>
        <v>505470.328859943</v>
      </c>
      <c r="I259" s="29" t="n">
        <f aca="false">H259*Controls!$B$52</f>
        <v>717767.866981119</v>
      </c>
      <c r="J259" s="29" t="n">
        <f aca="false">'City Fiscal'!$B$5+(H259*Controls!$B$56*Controls!$B$55)+('City Fiscal'!$B$9*B259*F259)</f>
        <v>139997.436868133</v>
      </c>
      <c r="K259" s="29" t="n">
        <f aca="false">J259-('City Fiscal'!$B$13*E259)</f>
        <v>35136.7435011742</v>
      </c>
      <c r="L259" s="30" t="n">
        <f aca="false">'Mobility &amp; Emissions'!$B$21*B259*F259</f>
        <v>80.7153504406664</v>
      </c>
    </row>
    <row r="260" customFormat="false" ht="15" hidden="false" customHeight="true" outlineLevel="0" collapsed="false">
      <c r="A260" s="14" t="n">
        <v>256</v>
      </c>
      <c r="B260" s="47" t="n">
        <v>0.930267062903302</v>
      </c>
      <c r="C260" s="47" t="n">
        <v>1.03850153375676</v>
      </c>
      <c r="D260" s="47" t="n">
        <v>1.03994941085539</v>
      </c>
      <c r="E260" s="47" t="n">
        <v>1.01459343679498</v>
      </c>
      <c r="F260" s="47" t="n">
        <v>0.999021810484237</v>
      </c>
      <c r="G260" s="27" t="n">
        <f aca="false">'Visitor Economics'!$B$5*B260</f>
        <v>29954.5994254863</v>
      </c>
      <c r="H260" s="29" t="n">
        <f aca="false">MAX(0,'Visitor Economics'!$B$18*B260*C260*D260)</f>
        <v>726978.671768765</v>
      </c>
      <c r="I260" s="29" t="n">
        <f aca="false">H260*Controls!$B$52</f>
        <v>1032309.71391165</v>
      </c>
      <c r="J260" s="29" t="n">
        <f aca="false">'City Fiscal'!$B$5+(H260*Controls!$B$56*Controls!$B$55)+('City Fiscal'!$B$9*B260*F260)</f>
        <v>148277.272575874</v>
      </c>
      <c r="K260" s="29" t="n">
        <f aca="false">J260-('City Fiscal'!$B$13*E260)</f>
        <v>36671.9945284261</v>
      </c>
      <c r="L260" s="30" t="n">
        <f aca="false">'Mobility &amp; Emissions'!$B$21*B260*F260</f>
        <v>86.7384766888748</v>
      </c>
    </row>
    <row r="261" customFormat="false" ht="15" hidden="false" customHeight="true" outlineLevel="0" collapsed="false">
      <c r="A261" s="14" t="n">
        <v>257</v>
      </c>
      <c r="B261" s="47" t="n">
        <v>0.873914855054991</v>
      </c>
      <c r="C261" s="47" t="n">
        <v>0.95971757226634</v>
      </c>
      <c r="D261" s="47" t="n">
        <v>0.88737364667366</v>
      </c>
      <c r="E261" s="47" t="n">
        <v>1.06671402126731</v>
      </c>
      <c r="F261" s="47" t="n">
        <v>0.952725362009584</v>
      </c>
      <c r="G261" s="27" t="n">
        <f aca="false">'Visitor Economics'!$B$5*B261</f>
        <v>28140.0583327707</v>
      </c>
      <c r="H261" s="29" t="n">
        <f aca="false">MAX(0,'Visitor Economics'!$B$18*B261*C261*D261)</f>
        <v>538534.790405513</v>
      </c>
      <c r="I261" s="29" t="n">
        <f aca="false">H261*Controls!$B$52</f>
        <v>764719.402375828</v>
      </c>
      <c r="J261" s="29" t="n">
        <f aca="false">'City Fiscal'!$B$5+(H261*Controls!$B$56*Controls!$B$55)+('City Fiscal'!$B$9*B261*F261)</f>
        <v>136794.310486237</v>
      </c>
      <c r="K261" s="29" t="n">
        <f aca="false">J261-('City Fiscal'!$B$13*E261)</f>
        <v>19455.7681468331</v>
      </c>
      <c r="L261" s="30" t="n">
        <f aca="false">'Mobility &amp; Emissions'!$B$21*B261*F261</f>
        <v>77.7080524390803</v>
      </c>
    </row>
    <row r="262" customFormat="false" ht="15" hidden="false" customHeight="true" outlineLevel="0" collapsed="false">
      <c r="A262" s="14" t="n">
        <v>258</v>
      </c>
      <c r="B262" s="47" t="n">
        <v>0.928021741699465</v>
      </c>
      <c r="C262" s="47" t="n">
        <v>1.00687175419021</v>
      </c>
      <c r="D262" s="47" t="n">
        <v>0.996545376307138</v>
      </c>
      <c r="E262" s="47" t="n">
        <v>1.04406615139808</v>
      </c>
      <c r="F262" s="47" t="n">
        <v>0.979122035299944</v>
      </c>
      <c r="G262" s="27" t="n">
        <f aca="false">'Visitor Economics'!$B$5*B262</f>
        <v>29882.3000827228</v>
      </c>
      <c r="H262" s="29" t="n">
        <f aca="false">MAX(0,'Visitor Economics'!$B$18*B262*C262*D262)</f>
        <v>673789.217510466</v>
      </c>
      <c r="I262" s="29" t="n">
        <f aca="false">H262*Controls!$B$52</f>
        <v>956780.688864862</v>
      </c>
      <c r="J262" s="29" t="n">
        <f aca="false">'City Fiscal'!$B$5+(H262*Controls!$B$56*Controls!$B$55)+('City Fiscal'!$B$9*B262*F262)</f>
        <v>145736.069986239</v>
      </c>
      <c r="K262" s="29" t="n">
        <f aca="false">J262-('City Fiscal'!$B$13*E262)</f>
        <v>30888.7933324507</v>
      </c>
      <c r="L262" s="30" t="n">
        <f aca="false">'Mobility &amp; Emissions'!$B$21*B262*F262</f>
        <v>84.8055259539591</v>
      </c>
    </row>
    <row r="263" customFormat="false" ht="15" hidden="false" customHeight="true" outlineLevel="0" collapsed="false">
      <c r="A263" s="14" t="n">
        <v>259</v>
      </c>
      <c r="B263" s="47" t="n">
        <v>0.952561138799651</v>
      </c>
      <c r="C263" s="47" t="n">
        <v>1.01141823357488</v>
      </c>
      <c r="D263" s="47" t="n">
        <v>0.928231238273179</v>
      </c>
      <c r="E263" s="47" t="n">
        <v>1.00761858569602</v>
      </c>
      <c r="F263" s="47" t="n">
        <v>1.06581270879759</v>
      </c>
      <c r="G263" s="27" t="n">
        <f aca="false">'Visitor Economics'!$B$5*B263</f>
        <v>30672.4686693488</v>
      </c>
      <c r="H263" s="29" t="n">
        <f aca="false">MAX(0,'Visitor Economics'!$B$18*B263*C263*D263)</f>
        <v>647104.601379414</v>
      </c>
      <c r="I263" s="29" t="n">
        <f aca="false">H263*Controls!$B$52</f>
        <v>918888.533958767</v>
      </c>
      <c r="J263" s="29" t="n">
        <f aca="false">'City Fiscal'!$B$5+(H263*Controls!$B$56*Controls!$B$55)+('City Fiscal'!$B$9*B263*F263)</f>
        <v>156869.571228061</v>
      </c>
      <c r="K263" s="29" t="n">
        <f aca="false">J263-('City Fiscal'!$B$13*E263)</f>
        <v>46031.5268014988</v>
      </c>
      <c r="L263" s="30" t="n">
        <f aca="false">'Mobility &amp; Emissions'!$B$21*B263*F263</f>
        <v>94.7551734017877</v>
      </c>
    </row>
    <row r="264" customFormat="false" ht="15" hidden="false" customHeight="true" outlineLevel="0" collapsed="false">
      <c r="A264" s="14" t="n">
        <v>260</v>
      </c>
      <c r="B264" s="47" t="n">
        <v>0.868385519175937</v>
      </c>
      <c r="C264" s="47" t="n">
        <v>1.04938838622436</v>
      </c>
      <c r="D264" s="47" t="n">
        <v>1.11879881860288</v>
      </c>
      <c r="E264" s="47" t="n">
        <v>1.10318804544588</v>
      </c>
      <c r="F264" s="47" t="n">
        <v>1.10678541912734</v>
      </c>
      <c r="G264" s="27" t="n">
        <f aca="false">'Visitor Economics'!$B$5*B264</f>
        <v>27962.0137174652</v>
      </c>
      <c r="H264" s="29" t="n">
        <f aca="false">MAX(0,'Visitor Economics'!$B$18*B264*C264*D264)</f>
        <v>737726.688167613</v>
      </c>
      <c r="I264" s="29" t="n">
        <f aca="false">H264*Controls!$B$52</f>
        <v>1047571.89719801</v>
      </c>
      <c r="J264" s="29" t="n">
        <f aca="false">'City Fiscal'!$B$5+(H264*Controls!$B$56*Controls!$B$55)+('City Fiscal'!$B$9*B264*F264)</f>
        <v>151715.276194993</v>
      </c>
      <c r="K264" s="29" t="n">
        <f aca="false">J264-('City Fiscal'!$B$13*E264)</f>
        <v>30364.5911959459</v>
      </c>
      <c r="L264" s="30" t="n">
        <f aca="false">'Mobility &amp; Emissions'!$B$21*B264*F264</f>
        <v>89.7026303849866</v>
      </c>
    </row>
    <row r="265" customFormat="false" ht="15" hidden="false" customHeight="true" outlineLevel="0" collapsed="false">
      <c r="A265" s="14" t="n">
        <v>261</v>
      </c>
      <c r="B265" s="47" t="n">
        <v>0.949942880447452</v>
      </c>
      <c r="C265" s="47" t="n">
        <v>0.957967387450803</v>
      </c>
      <c r="D265" s="47" t="n">
        <v>1.08686278781345</v>
      </c>
      <c r="E265" s="47" t="n">
        <v>0.970464281475704</v>
      </c>
      <c r="F265" s="47" t="n">
        <v>0.906324950066556</v>
      </c>
      <c r="G265" s="27" t="n">
        <f aca="false">'Visitor Economics'!$B$5*B265</f>
        <v>30588.160750408</v>
      </c>
      <c r="H265" s="29" t="n">
        <f aca="false">MAX(0,'Visitor Economics'!$B$18*B265*C265*D265)</f>
        <v>715677.898770858</v>
      </c>
      <c r="I265" s="29" t="n">
        <f aca="false">H265*Controls!$B$52</f>
        <v>1016262.61625462</v>
      </c>
      <c r="J265" s="29" t="n">
        <f aca="false">'City Fiscal'!$B$5+(H265*Controls!$B$56*Controls!$B$55)+('City Fiscal'!$B$9*B265*F265)</f>
        <v>140949.608974777</v>
      </c>
      <c r="K265" s="29" t="n">
        <f aca="false">J265-('City Fiscal'!$B$13*E265)</f>
        <v>34198.5380124493</v>
      </c>
      <c r="L265" s="30" t="n">
        <f aca="false">'Mobility &amp; Emissions'!$B$21*B265*F265</f>
        <v>80.3545742478526</v>
      </c>
    </row>
    <row r="266" customFormat="false" ht="15" hidden="false" customHeight="true" outlineLevel="0" collapsed="false">
      <c r="A266" s="14" t="n">
        <v>262</v>
      </c>
      <c r="B266" s="47" t="n">
        <v>0.932570028022423</v>
      </c>
      <c r="C266" s="47" t="n">
        <v>0.939511505722253</v>
      </c>
      <c r="D266" s="47" t="n">
        <v>1.08903804797406</v>
      </c>
      <c r="E266" s="47" t="n">
        <v>1.01619719847701</v>
      </c>
      <c r="F266" s="47" t="n">
        <v>0.909055059055089</v>
      </c>
      <c r="G266" s="27" t="n">
        <f aca="false">'Visitor Economics'!$B$5*B266</f>
        <v>30028.754902322</v>
      </c>
      <c r="H266" s="29" t="n">
        <f aca="false">MAX(0,'Visitor Economics'!$B$18*B266*C266*D266)</f>
        <v>690432.584123759</v>
      </c>
      <c r="I266" s="29" t="n">
        <f aca="false">H266*Controls!$B$52</f>
        <v>980414.269455738</v>
      </c>
      <c r="J266" s="29" t="n">
        <f aca="false">'City Fiscal'!$B$5+(H266*Controls!$B$56*Controls!$B$55)+('City Fiscal'!$B$9*B266*F266)</f>
        <v>139386.104099433</v>
      </c>
      <c r="K266" s="29" t="n">
        <f aca="false">J266-('City Fiscal'!$B$13*E266)</f>
        <v>27604.4122669619</v>
      </c>
      <c r="L266" s="30" t="n">
        <f aca="false">'Mobility &amp; Emissions'!$B$21*B266*F266</f>
        <v>79.1226488397937</v>
      </c>
    </row>
    <row r="267" customFormat="false" ht="15" hidden="false" customHeight="true" outlineLevel="0" collapsed="false">
      <c r="A267" s="14" t="n">
        <v>263</v>
      </c>
      <c r="B267" s="47" t="n">
        <v>0.951501824841825</v>
      </c>
      <c r="C267" s="47" t="n">
        <v>1.08425087413656</v>
      </c>
      <c r="D267" s="47" t="n">
        <v>0.953611923553655</v>
      </c>
      <c r="E267" s="47" t="n">
        <v>1.05980602007424</v>
      </c>
      <c r="F267" s="47" t="n">
        <v>1.01293249838127</v>
      </c>
      <c r="G267" s="27" t="n">
        <f aca="false">'Visitor Economics'!$B$5*B267</f>
        <v>30638.3587599068</v>
      </c>
      <c r="H267" s="29" t="n">
        <f aca="false">MAX(0,'Visitor Economics'!$B$18*B267*C267*D267)</f>
        <v>711878.290273447</v>
      </c>
      <c r="I267" s="29" t="n">
        <f aca="false">H267*Controls!$B$52</f>
        <v>1010867.17218829</v>
      </c>
      <c r="J267" s="29" t="n">
        <f aca="false">'City Fiscal'!$B$5+(H267*Controls!$B$56*Controls!$B$55)+('City Fiscal'!$B$9*B267*F267)</f>
        <v>151833.149778355</v>
      </c>
      <c r="K267" s="29" t="n">
        <f aca="false">J267-('City Fiscal'!$B$13*E267)</f>
        <v>35254.4875701887</v>
      </c>
      <c r="L267" s="30" t="n">
        <f aca="false">'Mobility &amp; Emissions'!$B$21*B267*F267</f>
        <v>89.9537570424972</v>
      </c>
    </row>
    <row r="268" customFormat="false" ht="15" hidden="false" customHeight="true" outlineLevel="0" collapsed="false">
      <c r="A268" s="14" t="n">
        <v>264</v>
      </c>
      <c r="B268" s="47" t="n">
        <v>0.907326352339176</v>
      </c>
      <c r="C268" s="47" t="n">
        <v>0.874249423960075</v>
      </c>
      <c r="D268" s="47" t="n">
        <v>1.12905063042744</v>
      </c>
      <c r="E268" s="47" t="n">
        <v>1.14300116823068</v>
      </c>
      <c r="F268" s="47" t="n">
        <v>1.01458397436049</v>
      </c>
      <c r="G268" s="27" t="n">
        <f aca="false">'Visitor Economics'!$B$5*B268</f>
        <v>29215.9085453215</v>
      </c>
      <c r="H268" s="29" t="n">
        <f aca="false">MAX(0,'Visitor Economics'!$B$18*B268*C268*D268)</f>
        <v>648047.689663064</v>
      </c>
      <c r="I268" s="29" t="n">
        <f aca="false">H268*Controls!$B$52</f>
        <v>920227.71932155</v>
      </c>
      <c r="J268" s="29" t="n">
        <f aca="false">'City Fiscal'!$B$5+(H268*Controls!$B$56*Controls!$B$55)+('City Fiscal'!$B$9*B268*F268)</f>
        <v>146832.66217656</v>
      </c>
      <c r="K268" s="29" t="n">
        <f aca="false">J268-('City Fiscal'!$B$13*E268)</f>
        <v>21102.5336711855</v>
      </c>
      <c r="L268" s="30" t="n">
        <f aca="false">'Mobility &amp; Emissions'!$B$21*B268*F268</f>
        <v>85.9173155698384</v>
      </c>
    </row>
    <row r="269" customFormat="false" ht="15" hidden="false" customHeight="true" outlineLevel="0" collapsed="false">
      <c r="A269" s="14" t="n">
        <v>265</v>
      </c>
      <c r="B269" s="47" t="n">
        <v>0.890058166439388</v>
      </c>
      <c r="C269" s="47" t="n">
        <v>1.01359511289419</v>
      </c>
      <c r="D269" s="47" t="n">
        <v>1.01091058158087</v>
      </c>
      <c r="E269" s="47" t="n">
        <v>1.13292630526032</v>
      </c>
      <c r="F269" s="47" t="n">
        <v>0.970654465313141</v>
      </c>
      <c r="G269" s="27" t="n">
        <f aca="false">'Visitor Economics'!$B$5*B269</f>
        <v>28659.8729593483</v>
      </c>
      <c r="H269" s="29" t="n">
        <f aca="false">MAX(0,'Visitor Economics'!$B$18*B269*C269*D269)</f>
        <v>659918.508802632</v>
      </c>
      <c r="I269" s="29" t="n">
        <f aca="false">H269*Controls!$B$52</f>
        <v>937084.282499737</v>
      </c>
      <c r="J269" s="29" t="n">
        <f aca="false">'City Fiscal'!$B$5+(H269*Controls!$B$56*Controls!$B$55)+('City Fiscal'!$B$9*B269*F269)</f>
        <v>140904.555315531</v>
      </c>
      <c r="K269" s="29" t="n">
        <f aca="false">J269-('City Fiscal'!$B$13*E269)</f>
        <v>16282.6617368962</v>
      </c>
      <c r="L269" s="30" t="n">
        <f aca="false">'Mobility &amp; Emissions'!$B$21*B269*F269</f>
        <v>80.6328893730715</v>
      </c>
    </row>
    <row r="270" customFormat="false" ht="15" hidden="false" customHeight="true" outlineLevel="0" collapsed="false">
      <c r="A270" s="14" t="n">
        <v>266</v>
      </c>
      <c r="B270" s="47" t="n">
        <v>0.957742470334906</v>
      </c>
      <c r="C270" s="47" t="n">
        <v>0.869568134925575</v>
      </c>
      <c r="D270" s="47" t="n">
        <v>1.19013556982648</v>
      </c>
      <c r="E270" s="47" t="n">
        <v>0.872418508181748</v>
      </c>
      <c r="F270" s="47" t="n">
        <v>0.943794989205181</v>
      </c>
      <c r="G270" s="27" t="n">
        <f aca="false">'Visitor Economics'!$B$5*B270</f>
        <v>30839.307544784</v>
      </c>
      <c r="H270" s="29" t="n">
        <f aca="false">MAX(0,'Visitor Economics'!$B$18*B270*C270*D270)</f>
        <v>717205.263041414</v>
      </c>
      <c r="I270" s="29" t="n">
        <f aca="false">H270*Controls!$B$52</f>
        <v>1018431.47351881</v>
      </c>
      <c r="J270" s="29" t="n">
        <f aca="false">'City Fiscal'!$B$5+(H270*Controls!$B$56*Controls!$B$55)+('City Fiscal'!$B$9*B270*F270)</f>
        <v>145515.324678309</v>
      </c>
      <c r="K270" s="29" t="n">
        <f aca="false">J270-('City Fiscal'!$B$13*E270)</f>
        <v>49549.2887783167</v>
      </c>
      <c r="L270" s="30" t="n">
        <f aca="false">'Mobility &amp; Emissions'!$B$21*B270*F270</f>
        <v>84.3636944249445</v>
      </c>
    </row>
    <row r="271" customFormat="false" ht="15" hidden="false" customHeight="true" outlineLevel="0" collapsed="false">
      <c r="A271" s="14" t="n">
        <v>267</v>
      </c>
      <c r="B271" s="47" t="n">
        <v>0.869142582417159</v>
      </c>
      <c r="C271" s="47" t="n">
        <v>1.02772866100462</v>
      </c>
      <c r="D271" s="47" t="n">
        <v>0.919609813408657</v>
      </c>
      <c r="E271" s="47" t="n">
        <v>0.895424796983485</v>
      </c>
      <c r="F271" s="47" t="n">
        <v>0.902607033750251</v>
      </c>
      <c r="G271" s="27" t="n">
        <f aca="false">'Visitor Economics'!$B$5*B271</f>
        <v>27986.3911538325</v>
      </c>
      <c r="H271" s="29" t="n">
        <f aca="false">MAX(0,'Visitor Economics'!$B$18*B271*C271*D271)</f>
        <v>594384.89320736</v>
      </c>
      <c r="I271" s="29" t="n">
        <f aca="false">H271*Controls!$B$52</f>
        <v>844026.548354452</v>
      </c>
      <c r="J271" s="29" t="n">
        <f aca="false">'City Fiscal'!$B$5+(H271*Controls!$B$56*Controls!$B$55)+('City Fiscal'!$B$9*B271*F271)</f>
        <v>132054.089214205</v>
      </c>
      <c r="K271" s="29" t="n">
        <f aca="false">J271-('City Fiscal'!$B$13*E271)</f>
        <v>33557.3615460214</v>
      </c>
      <c r="L271" s="30" t="n">
        <f aca="false">'Mobility &amp; Emissions'!$B$21*B271*F271</f>
        <v>73.2181780934745</v>
      </c>
    </row>
    <row r="272" customFormat="false" ht="15" hidden="false" customHeight="true" outlineLevel="0" collapsed="false">
      <c r="A272" s="14" t="n">
        <v>268</v>
      </c>
      <c r="B272" s="47" t="n">
        <v>0.925448426771418</v>
      </c>
      <c r="C272" s="47" t="n">
        <v>1.00296154478121</v>
      </c>
      <c r="D272" s="47" t="n">
        <v>1.23672408195265</v>
      </c>
      <c r="E272" s="47" t="n">
        <v>1.10245763320321</v>
      </c>
      <c r="F272" s="47" t="n">
        <v>0.95743602747682</v>
      </c>
      <c r="G272" s="27" t="n">
        <f aca="false">'Visitor Economics'!$B$5*B272</f>
        <v>29799.4393420397</v>
      </c>
      <c r="H272" s="29" t="n">
        <f aca="false">MAX(0,'Visitor Economics'!$B$18*B272*C272*D272)</f>
        <v>830623.072375138</v>
      </c>
      <c r="I272" s="29" t="n">
        <f aca="false">H272*Controls!$B$52</f>
        <v>1179484.7627727</v>
      </c>
      <c r="J272" s="29" t="n">
        <f aca="false">'City Fiscal'!$B$5+(H272*Controls!$B$56*Controls!$B$55)+('City Fiscal'!$B$9*B272*F272)</f>
        <v>144356.605925277</v>
      </c>
      <c r="K272" s="29" t="n">
        <f aca="false">J272-('City Fiscal'!$B$13*E272)</f>
        <v>23086.266272924</v>
      </c>
      <c r="L272" s="30" t="n">
        <f aca="false">'Mobility &amp; Emissions'!$B$21*B272*F272</f>
        <v>82.6972682063318</v>
      </c>
    </row>
    <row r="273" customFormat="false" ht="15" hidden="false" customHeight="true" outlineLevel="0" collapsed="false">
      <c r="A273" s="14" t="n">
        <v>269</v>
      </c>
      <c r="B273" s="47" t="n">
        <v>0.988062561154657</v>
      </c>
      <c r="C273" s="47" t="n">
        <v>0.888738635424338</v>
      </c>
      <c r="D273" s="47" t="n">
        <v>0.979910229853302</v>
      </c>
      <c r="E273" s="47" t="n">
        <v>0.943010975120109</v>
      </c>
      <c r="F273" s="47" t="n">
        <v>1.08981279205678</v>
      </c>
      <c r="G273" s="27" t="n">
        <f aca="false">'Visitor Economics'!$B$5*B273</f>
        <v>31815.61446918</v>
      </c>
      <c r="H273" s="29" t="n">
        <f aca="false">MAX(0,'Visitor Economics'!$B$18*B273*C273*D273)</f>
        <v>622643.509184011</v>
      </c>
      <c r="I273" s="29" t="n">
        <f aca="false">H273*Controls!$B$52</f>
        <v>884153.783041295</v>
      </c>
      <c r="J273" s="29" t="n">
        <f aca="false">'City Fiscal'!$B$5+(H273*Controls!$B$56*Controls!$B$55)+('City Fiscal'!$B$9*B273*F273)</f>
        <v>163239.133289465</v>
      </c>
      <c r="K273" s="29" t="n">
        <f aca="false">J273-('City Fiscal'!$B$13*E273)</f>
        <v>59507.9260262525</v>
      </c>
      <c r="L273" s="30" t="n">
        <f aca="false">'Mobility &amp; Emissions'!$B$21*B273*F273</f>
        <v>100.499874947958</v>
      </c>
    </row>
    <row r="274" customFormat="false" ht="15" hidden="false" customHeight="true" outlineLevel="0" collapsed="false">
      <c r="A274" s="14" t="n">
        <v>270</v>
      </c>
      <c r="B274" s="47" t="n">
        <v>0.919899964260181</v>
      </c>
      <c r="C274" s="47" t="n">
        <v>1.0025010638346</v>
      </c>
      <c r="D274" s="47" t="n">
        <v>0.908422350079727</v>
      </c>
      <c r="E274" s="47" t="n">
        <v>1.09088918955646</v>
      </c>
      <c r="F274" s="47" t="n">
        <v>0.964335034000957</v>
      </c>
      <c r="G274" s="27" t="n">
        <f aca="false">'Visitor Economics'!$B$5*B274</f>
        <v>29620.7788491778</v>
      </c>
      <c r="H274" s="29" t="n">
        <f aca="false">MAX(0,'Visitor Economics'!$B$18*B274*C274*D274)</f>
        <v>606188.822852514</v>
      </c>
      <c r="I274" s="29" t="n">
        <f aca="false">H274*Controls!$B$52</f>
        <v>860788.128450569</v>
      </c>
      <c r="J274" s="29" t="n">
        <f aca="false">'City Fiscal'!$B$5+(H274*Controls!$B$56*Controls!$B$55)+('City Fiscal'!$B$9*B274*F274)</f>
        <v>143011.947124285</v>
      </c>
      <c r="K274" s="29" t="n">
        <f aca="false">J274-('City Fiscal'!$B$13*E274)</f>
        <v>23014.1362730743</v>
      </c>
      <c r="L274" s="30" t="n">
        <f aca="false">'Mobility &amp; Emissions'!$B$21*B274*F274</f>
        <v>82.7937823259365</v>
      </c>
    </row>
    <row r="275" customFormat="false" ht="15" hidden="false" customHeight="true" outlineLevel="0" collapsed="false">
      <c r="A275" s="14" t="n">
        <v>271</v>
      </c>
      <c r="B275" s="47" t="n">
        <v>0.875686989711246</v>
      </c>
      <c r="C275" s="47" t="n">
        <v>0.843811761799581</v>
      </c>
      <c r="D275" s="47" t="n">
        <v>0.943173220842147</v>
      </c>
      <c r="E275" s="47" t="n">
        <v>0.928999541283438</v>
      </c>
      <c r="F275" s="47" t="n">
        <v>0.890527768258319</v>
      </c>
      <c r="G275" s="27" t="n">
        <f aca="false">'Visitor Economics'!$B$5*B275</f>
        <v>28197.1210687021</v>
      </c>
      <c r="H275" s="29" t="n">
        <f aca="false">MAX(0,'Visitor Economics'!$B$18*B275*C275*D275)</f>
        <v>504290.286618455</v>
      </c>
      <c r="I275" s="29" t="n">
        <f aca="false">H275*Controls!$B$52</f>
        <v>716092.206998207</v>
      </c>
      <c r="J275" s="29" t="n">
        <f aca="false">'City Fiscal'!$B$5+(H275*Controls!$B$56*Controls!$B$55)+('City Fiscal'!$B$9*B275*F275)</f>
        <v>130974.915240533</v>
      </c>
      <c r="K275" s="29" t="n">
        <f aca="false">J275-('City Fiscal'!$B$13*E275)</f>
        <v>28784.9656993546</v>
      </c>
      <c r="L275" s="30" t="n">
        <f aca="false">'Mobility &amp; Emissions'!$B$21*B275*F275</f>
        <v>72.7822604812558</v>
      </c>
    </row>
    <row r="276" customFormat="false" ht="15" hidden="false" customHeight="true" outlineLevel="0" collapsed="false">
      <c r="A276" s="14" t="n">
        <v>272</v>
      </c>
      <c r="B276" s="47" t="n">
        <v>0.862282440411062</v>
      </c>
      <c r="C276" s="47" t="n">
        <v>1.0658335897442</v>
      </c>
      <c r="D276" s="47" t="n">
        <v>1.01839958981038</v>
      </c>
      <c r="E276" s="47" t="n">
        <v>1.04962223177209</v>
      </c>
      <c r="F276" s="47" t="n">
        <v>0.885178118198676</v>
      </c>
      <c r="G276" s="27" t="n">
        <f aca="false">'Visitor Economics'!$B$5*B276</f>
        <v>27765.4945812362</v>
      </c>
      <c r="H276" s="29" t="n">
        <f aca="false">MAX(0,'Visitor Economics'!$B$18*B276*C276*D276)</f>
        <v>677254.392410806</v>
      </c>
      <c r="I276" s="29" t="n">
        <f aca="false">H276*Controls!$B$52</f>
        <v>961701.237223345</v>
      </c>
      <c r="J276" s="29" t="n">
        <f aca="false">'City Fiscal'!$B$5+(H276*Controls!$B$56*Controls!$B$55)+('City Fiscal'!$B$9*B276*F276)</f>
        <v>130340.4468674</v>
      </c>
      <c r="K276" s="29" t="n">
        <f aca="false">J276-('City Fiscal'!$B$13*E276)</f>
        <v>14882.0013724703</v>
      </c>
      <c r="L276" s="30" t="n">
        <f aca="false">'Mobility &amp; Emissions'!$B$21*B276*F276</f>
        <v>71.2376177960288</v>
      </c>
    </row>
    <row r="277" customFormat="false" ht="15" hidden="false" customHeight="true" outlineLevel="0" collapsed="false">
      <c r="A277" s="14" t="n">
        <v>273</v>
      </c>
      <c r="B277" s="47" t="n">
        <v>0.801297887219159</v>
      </c>
      <c r="C277" s="47" t="n">
        <v>0.950938917056771</v>
      </c>
      <c r="D277" s="47" t="n">
        <v>1.1446256672619</v>
      </c>
      <c r="E277" s="47" t="n">
        <v>0.931457166660561</v>
      </c>
      <c r="F277" s="47" t="n">
        <v>0.954031245306398</v>
      </c>
      <c r="G277" s="27" t="n">
        <f aca="false">'Visitor Economics'!$B$5*B277</f>
        <v>25801.7919684569</v>
      </c>
      <c r="H277" s="29" t="n">
        <f aca="false">MAX(0,'Visitor Economics'!$B$18*B277*C277*D277)</f>
        <v>631109.57438352</v>
      </c>
      <c r="I277" s="29" t="n">
        <f aca="false">H277*Controls!$B$52</f>
        <v>896175.595624598</v>
      </c>
      <c r="J277" s="29" t="n">
        <f aca="false">'City Fiscal'!$B$5+(H277*Controls!$B$56*Controls!$B$55)+('City Fiscal'!$B$9*B277*F277)</f>
        <v>130167.603703989</v>
      </c>
      <c r="K277" s="29" t="n">
        <f aca="false">J277-('City Fiscal'!$B$13*E277)</f>
        <v>27707.3153713278</v>
      </c>
      <c r="L277" s="30" t="n">
        <f aca="false">'Mobility &amp; Emissions'!$B$21*B277*F277</f>
        <v>71.3486520225462</v>
      </c>
    </row>
    <row r="278" customFormat="false" ht="15" hidden="false" customHeight="true" outlineLevel="0" collapsed="false">
      <c r="A278" s="14" t="n">
        <v>274</v>
      </c>
      <c r="B278" s="47" t="n">
        <v>0.899849906132629</v>
      </c>
      <c r="C278" s="47" t="n">
        <v>1.04051415220305</v>
      </c>
      <c r="D278" s="47" t="n">
        <v>1.1019670644755</v>
      </c>
      <c r="E278" s="47" t="n">
        <v>1.0751178968562</v>
      </c>
      <c r="F278" s="47" t="n">
        <v>1.04131467440358</v>
      </c>
      <c r="G278" s="27" t="n">
        <f aca="false">'Visitor Economics'!$B$5*B278</f>
        <v>28975.1669774707</v>
      </c>
      <c r="H278" s="29" t="n">
        <f aca="false">MAX(0,'Visitor Economics'!$B$18*B278*C278*D278)</f>
        <v>746588.595006874</v>
      </c>
      <c r="I278" s="29" t="n">
        <f aca="false">H278*Controls!$B$52</f>
        <v>1060155.80490976</v>
      </c>
      <c r="J278" s="29" t="n">
        <f aca="false">'City Fiscal'!$B$5+(H278*Controls!$B$56*Controls!$B$55)+('City Fiscal'!$B$9*B278*F278)</f>
        <v>149217.797100484</v>
      </c>
      <c r="K278" s="29" t="n">
        <f aca="false">J278-('City Fiscal'!$B$13*E278)</f>
        <v>30954.8284463021</v>
      </c>
      <c r="L278" s="30" t="n">
        <f aca="false">'Mobility &amp; Emissions'!$B$21*B278*F278</f>
        <v>87.4543146442588</v>
      </c>
    </row>
    <row r="279" customFormat="false" ht="15" hidden="false" customHeight="true" outlineLevel="0" collapsed="false">
      <c r="A279" s="14" t="n">
        <v>275</v>
      </c>
      <c r="B279" s="47" t="n">
        <v>0.869706187077592</v>
      </c>
      <c r="C279" s="47" t="n">
        <v>0.92737318100904</v>
      </c>
      <c r="D279" s="47" t="n">
        <v>0.937037893516183</v>
      </c>
      <c r="E279" s="47" t="n">
        <v>1.00235357866507</v>
      </c>
      <c r="F279" s="47" t="n">
        <v>1.04948880659349</v>
      </c>
      <c r="G279" s="27" t="n">
        <f aca="false">'Visitor Economics'!$B$5*B279</f>
        <v>28004.5392238985</v>
      </c>
      <c r="H279" s="29" t="n">
        <f aca="false">MAX(0,'Visitor Economics'!$B$18*B279*C279*D279)</f>
        <v>546863.471993777</v>
      </c>
      <c r="I279" s="29" t="n">
        <f aca="false">H279*Controls!$B$52</f>
        <v>776546.130231163</v>
      </c>
      <c r="J279" s="29" t="n">
        <f aca="false">'City Fiscal'!$B$5+(H279*Controls!$B$56*Controls!$B$55)+('City Fiscal'!$B$9*B279*F279)</f>
        <v>145348.471465868</v>
      </c>
      <c r="K279" s="29" t="n">
        <f aca="false">J279-('City Fiscal'!$B$13*E279)</f>
        <v>35089.5778127102</v>
      </c>
      <c r="L279" s="30" t="n">
        <f aca="false">'Mobility &amp; Emissions'!$B$21*B279*F279</f>
        <v>85.1882206272664</v>
      </c>
    </row>
    <row r="280" customFormat="false" ht="15" hidden="false" customHeight="true" outlineLevel="0" collapsed="false">
      <c r="A280" s="14" t="n">
        <v>276</v>
      </c>
      <c r="B280" s="47" t="n">
        <v>0.83328414398299</v>
      </c>
      <c r="C280" s="47" t="n">
        <v>0.925853672586264</v>
      </c>
      <c r="D280" s="47" t="n">
        <v>0.859092983253889</v>
      </c>
      <c r="E280" s="47" t="n">
        <v>1.03612795881649</v>
      </c>
      <c r="F280" s="47" t="n">
        <v>1.01659272883385</v>
      </c>
      <c r="G280" s="27" t="n">
        <f aca="false">'Visitor Economics'!$B$5*B280</f>
        <v>26831.7494362523</v>
      </c>
      <c r="H280" s="29" t="n">
        <f aca="false">MAX(0,'Visitor Economics'!$B$18*B280*C280*D280)</f>
        <v>479590.214348858</v>
      </c>
      <c r="I280" s="29" t="n">
        <f aca="false">H280*Controls!$B$52</f>
        <v>681018.104375379</v>
      </c>
      <c r="J280" s="29" t="n">
        <f aca="false">'City Fiscal'!$B$5+(H280*Controls!$B$56*Controls!$B$55)+('City Fiscal'!$B$9*B280*F280)</f>
        <v>137951.236130356</v>
      </c>
      <c r="K280" s="29" t="n">
        <f aca="false">J280-('City Fiscal'!$B$13*E280)</f>
        <v>23977.1606605425</v>
      </c>
      <c r="L280" s="30" t="n">
        <f aca="false">'Mobility &amp; Emissions'!$B$21*B280*F280</f>
        <v>79.0622725564107</v>
      </c>
    </row>
    <row r="281" customFormat="false" ht="15" hidden="false" customHeight="true" outlineLevel="0" collapsed="false">
      <c r="A281" s="14" t="n">
        <v>277</v>
      </c>
      <c r="B281" s="47" t="n">
        <v>0.913760980857648</v>
      </c>
      <c r="C281" s="47" t="n">
        <v>0.995365332948106</v>
      </c>
      <c r="D281" s="47" t="n">
        <v>1.08940345582797</v>
      </c>
      <c r="E281" s="47" t="n">
        <v>1.0143652190359</v>
      </c>
      <c r="F281" s="47" t="n">
        <v>1.03625686833923</v>
      </c>
      <c r="G281" s="27" t="n">
        <f aca="false">'Visitor Economics'!$B$5*B281</f>
        <v>29423.1035836163</v>
      </c>
      <c r="H281" s="29" t="n">
        <f aca="false">MAX(0,'Visitor Economics'!$B$18*B281*C281*D281)</f>
        <v>716965.962075556</v>
      </c>
      <c r="I281" s="29" t="n">
        <f aca="false">H281*Controls!$B$52</f>
        <v>1018091.66614729</v>
      </c>
      <c r="J281" s="29" t="n">
        <f aca="false">'City Fiscal'!$B$5+(H281*Controls!$B$56*Controls!$B$55)+('City Fiscal'!$B$9*B281*F281)</f>
        <v>150072.025083948</v>
      </c>
      <c r="K281" s="29" t="n">
        <f aca="false">J281-('City Fiscal'!$B$13*E281)</f>
        <v>38491.8509899988</v>
      </c>
      <c r="L281" s="30" t="n">
        <f aca="false">'Mobility &amp; Emissions'!$B$21*B281*F281</f>
        <v>88.3749553717344</v>
      </c>
    </row>
    <row r="282" customFormat="false" ht="15" hidden="false" customHeight="true" outlineLevel="0" collapsed="false">
      <c r="A282" s="14" t="n">
        <v>278</v>
      </c>
      <c r="B282" s="47" t="n">
        <v>0.856131465242697</v>
      </c>
      <c r="C282" s="47" t="n">
        <v>0.972115088009047</v>
      </c>
      <c r="D282" s="47" t="n">
        <v>0.989260364139987</v>
      </c>
      <c r="E282" s="47" t="n">
        <v>1.03587678780665</v>
      </c>
      <c r="F282" s="47" t="n">
        <v>1.14525658350975</v>
      </c>
      <c r="G282" s="27" t="n">
        <f aca="false">'Visitor Economics'!$B$5*B282</f>
        <v>27567.4331808148</v>
      </c>
      <c r="H282" s="29" t="n">
        <f aca="false">MAX(0,'Visitor Economics'!$B$18*B282*C282*D282)</f>
        <v>595749.135974257</v>
      </c>
      <c r="I282" s="29" t="n">
        <f aca="false">H282*Controls!$B$52</f>
        <v>845963.773083445</v>
      </c>
      <c r="J282" s="29" t="n">
        <f aca="false">'City Fiscal'!$B$5+(H282*Controls!$B$56*Controls!$B$55)+('City Fiscal'!$B$9*B282*F282)</f>
        <v>152850.019073601</v>
      </c>
      <c r="K282" s="29" t="n">
        <f aca="false">J282-('City Fiscal'!$B$13*E282)</f>
        <v>38903.5724148697</v>
      </c>
      <c r="L282" s="30" t="n">
        <f aca="false">'Mobility &amp; Emissions'!$B$21*B282*F282</f>
        <v>91.5108169117895</v>
      </c>
    </row>
    <row r="283" customFormat="false" ht="15" hidden="false" customHeight="true" outlineLevel="0" collapsed="false">
      <c r="A283" s="14" t="n">
        <v>279</v>
      </c>
      <c r="B283" s="47" t="n">
        <v>0.878626568428593</v>
      </c>
      <c r="C283" s="47" t="n">
        <v>0.866184412955022</v>
      </c>
      <c r="D283" s="47" t="n">
        <v>1.11224568972261</v>
      </c>
      <c r="E283" s="47" t="n">
        <v>0.873151669776217</v>
      </c>
      <c r="F283" s="47" t="n">
        <v>1.11295273289432</v>
      </c>
      <c r="G283" s="27" t="n">
        <f aca="false">'Visitor Economics'!$B$5*B283</f>
        <v>28291.7755034007</v>
      </c>
      <c r="H283" s="29" t="n">
        <f aca="false">MAX(0,'Visitor Economics'!$B$18*B283*C283*D283)</f>
        <v>612505.64674999</v>
      </c>
      <c r="I283" s="29" t="n">
        <f aca="false">H283*Controls!$B$52</f>
        <v>869758.018384986</v>
      </c>
      <c r="J283" s="29" t="n">
        <f aca="false">'City Fiscal'!$B$5+(H283*Controls!$B$56*Controls!$B$55)+('City Fiscal'!$B$9*B283*F283)</f>
        <v>152680.689539844</v>
      </c>
      <c r="K283" s="29" t="n">
        <f aca="false">J283-('City Fiscal'!$B$13*E283)</f>
        <v>56634.00586446</v>
      </c>
      <c r="L283" s="30" t="n">
        <f aca="false">'Mobility &amp; Emissions'!$B$21*B283*F283</f>
        <v>91.2662545950355</v>
      </c>
    </row>
    <row r="284" customFormat="false" ht="15" hidden="false" customHeight="true" outlineLevel="0" collapsed="false">
      <c r="A284" s="14" t="n">
        <v>280</v>
      </c>
      <c r="B284" s="47" t="n">
        <v>0.907721572179487</v>
      </c>
      <c r="C284" s="47" t="n">
        <v>1.02059175084532</v>
      </c>
      <c r="D284" s="47" t="n">
        <v>1.08976969699835</v>
      </c>
      <c r="E284" s="47" t="n">
        <v>1.1832074105907</v>
      </c>
      <c r="F284" s="47" t="n">
        <v>0.948475885373019</v>
      </c>
      <c r="G284" s="27" t="n">
        <f aca="false">'Visitor Economics'!$B$5*B284</f>
        <v>29228.6346241795</v>
      </c>
      <c r="H284" s="29" t="n">
        <f aca="false">MAX(0,'Visitor Economics'!$B$18*B284*C284*D284)</f>
        <v>730523.358985963</v>
      </c>
      <c r="I284" s="29" t="n">
        <f aca="false">H284*Controls!$B$52</f>
        <v>1037343.16976007</v>
      </c>
      <c r="J284" s="29" t="n">
        <f aca="false">'City Fiscal'!$B$5+(H284*Controls!$B$56*Controls!$B$55)+('City Fiscal'!$B$9*B284*F284)</f>
        <v>141045.286613096</v>
      </c>
      <c r="K284" s="29" t="n">
        <f aca="false">J284-('City Fiscal'!$B$13*E284)</f>
        <v>10892.471448119</v>
      </c>
      <c r="L284" s="30" t="n">
        <f aca="false">'Mobility &amp; Emissions'!$B$21*B284*F284</f>
        <v>80.3541158172429</v>
      </c>
    </row>
    <row r="285" customFormat="false" ht="15" hidden="false" customHeight="true" outlineLevel="0" collapsed="false">
      <c r="A285" s="14" t="n">
        <v>281</v>
      </c>
      <c r="B285" s="47" t="n">
        <v>0.885219770005451</v>
      </c>
      <c r="C285" s="47" t="n">
        <v>1.01292059021455</v>
      </c>
      <c r="D285" s="47" t="n">
        <v>1.232860863499</v>
      </c>
      <c r="E285" s="47" t="n">
        <v>1.12493501689122</v>
      </c>
      <c r="F285" s="47" t="n">
        <v>1.0348804968739</v>
      </c>
      <c r="G285" s="27" t="n">
        <f aca="false">'Visitor Economics'!$B$5*B285</f>
        <v>28504.0765941755</v>
      </c>
      <c r="H285" s="29" t="n">
        <f aca="false">MAX(0,'Visitor Economics'!$B$18*B285*C285*D285)</f>
        <v>799899.158582926</v>
      </c>
      <c r="I285" s="29" t="n">
        <f aca="false">H285*Controls!$B$52</f>
        <v>1135856.80518775</v>
      </c>
      <c r="J285" s="29" t="n">
        <f aca="false">'City Fiscal'!$B$5+(H285*Controls!$B$56*Controls!$B$55)+('City Fiscal'!$B$9*B285*F285)</f>
        <v>147343.414822438</v>
      </c>
      <c r="K285" s="29" t="n">
        <f aca="false">J285-('City Fiscal'!$B$13*E285)</f>
        <v>23600.5629644035</v>
      </c>
      <c r="L285" s="30" t="n">
        <f aca="false">'Mobility &amp; Emissions'!$B$21*B285*F285</f>
        <v>85.500860081842</v>
      </c>
    </row>
    <row r="286" customFormat="false" ht="15" hidden="false" customHeight="true" outlineLevel="0" collapsed="false">
      <c r="A286" s="14" t="n">
        <v>282</v>
      </c>
      <c r="B286" s="47" t="n">
        <v>0.932844965721996</v>
      </c>
      <c r="C286" s="47" t="n">
        <v>0.929859000541603</v>
      </c>
      <c r="D286" s="47" t="n">
        <v>0.906393433373732</v>
      </c>
      <c r="E286" s="47" t="n">
        <v>1.1215428086871</v>
      </c>
      <c r="F286" s="47" t="n">
        <v>1.02549096418332</v>
      </c>
      <c r="G286" s="27" t="n">
        <f aca="false">'Visitor Economics'!$B$5*B286</f>
        <v>30037.6078962483</v>
      </c>
      <c r="H286" s="29" t="n">
        <f aca="false">MAX(0,'Visitor Economics'!$B$18*B286*C286*D286)</f>
        <v>568902.695319174</v>
      </c>
      <c r="I286" s="29" t="n">
        <f aca="false">H286*Controls!$B$52</f>
        <v>807841.827353227</v>
      </c>
      <c r="J286" s="29" t="n">
        <f aca="false">'City Fiscal'!$B$5+(H286*Controls!$B$56*Controls!$B$55)+('City Fiscal'!$B$9*B286*F286)</f>
        <v>150144.843963735</v>
      </c>
      <c r="K286" s="29" t="n">
        <f aca="false">J286-('City Fiscal'!$B$13*E286)</f>
        <v>26775.1350081544</v>
      </c>
      <c r="L286" s="30" t="n">
        <f aca="false">'Mobility &amp; Emissions'!$B$21*B286*F286</f>
        <v>89.2833519582991</v>
      </c>
    </row>
    <row r="287" customFormat="false" ht="15" hidden="false" customHeight="true" outlineLevel="0" collapsed="false">
      <c r="A287" s="14" t="n">
        <v>283</v>
      </c>
      <c r="B287" s="47" t="n">
        <v>0.883448537930703</v>
      </c>
      <c r="C287" s="47" t="n">
        <v>1.05198529570747</v>
      </c>
      <c r="D287" s="47" t="n">
        <v>1.05563886705414</v>
      </c>
      <c r="E287" s="47" t="n">
        <v>1.16171778208495</v>
      </c>
      <c r="F287" s="47" t="n">
        <v>1.07020338353038</v>
      </c>
      <c r="G287" s="27" t="n">
        <f aca="false">'Visitor Economics'!$B$5*B287</f>
        <v>28447.0429213686</v>
      </c>
      <c r="H287" s="29" t="n">
        <f aca="false">MAX(0,'Visitor Economics'!$B$18*B287*C287*D287)</f>
        <v>709906.196964787</v>
      </c>
      <c r="I287" s="29" t="n">
        <f aca="false">H287*Controls!$B$52</f>
        <v>1008066.79969</v>
      </c>
      <c r="J287" s="29" t="n">
        <f aca="false">'City Fiscal'!$B$5+(H287*Controls!$B$56*Controls!$B$55)+('City Fiscal'!$B$9*B287*F287)</f>
        <v>149875.517629833</v>
      </c>
      <c r="K287" s="29" t="n">
        <f aca="false">J287-('City Fiscal'!$B$13*E287)</f>
        <v>22086.5616004884</v>
      </c>
      <c r="L287" s="30" t="n">
        <f aca="false">'Mobility &amp; Emissions'!$B$21*B287*F287</f>
        <v>88.2422864166809</v>
      </c>
    </row>
    <row r="288" customFormat="false" ht="15" hidden="false" customHeight="true" outlineLevel="0" collapsed="false">
      <c r="A288" s="14" t="n">
        <v>284</v>
      </c>
      <c r="B288" s="47" t="n">
        <v>0.903576696832372</v>
      </c>
      <c r="C288" s="47" t="n">
        <v>1.0104281057935</v>
      </c>
      <c r="D288" s="47" t="n">
        <v>1.14745123111417</v>
      </c>
      <c r="E288" s="47" t="n">
        <v>1.10136874487511</v>
      </c>
      <c r="F288" s="47" t="n">
        <v>1.01541731166305</v>
      </c>
      <c r="G288" s="27" t="n">
        <f aca="false">'Visitor Economics'!$B$5*B288</f>
        <v>29095.1696380024</v>
      </c>
      <c r="H288" s="29" t="n">
        <f aca="false">MAX(0,'Visitor Economics'!$B$18*B288*C288*D288)</f>
        <v>758052.607119945</v>
      </c>
      <c r="I288" s="29" t="n">
        <f aca="false">H288*Controls!$B$52</f>
        <v>1076434.70211032</v>
      </c>
      <c r="J288" s="29" t="n">
        <f aca="false">'City Fiscal'!$B$5+(H288*Controls!$B$56*Controls!$B$55)+('City Fiscal'!$B$9*B288*F288)</f>
        <v>147221.871015249</v>
      </c>
      <c r="K288" s="29" t="n">
        <f aca="false">J288-('City Fiscal'!$B$13*E288)</f>
        <v>26071.3090789864</v>
      </c>
      <c r="L288" s="30" t="n">
        <f aca="false">'Mobility &amp; Emissions'!$B$21*B288*F288</f>
        <v>85.6325273065779</v>
      </c>
    </row>
    <row r="289" customFormat="false" ht="15" hidden="false" customHeight="true" outlineLevel="0" collapsed="false">
      <c r="A289" s="14" t="n">
        <v>285</v>
      </c>
      <c r="B289" s="47" t="n">
        <v>0.871559816513578</v>
      </c>
      <c r="C289" s="47" t="n">
        <v>1.02131869477961</v>
      </c>
      <c r="D289" s="47" t="n">
        <v>0.933710442065593</v>
      </c>
      <c r="E289" s="47" t="n">
        <v>1.02920314766736</v>
      </c>
      <c r="F289" s="47" t="n">
        <v>0.991748015859129</v>
      </c>
      <c r="G289" s="27" t="n">
        <f aca="false">'Visitor Economics'!$B$5*B289</f>
        <v>28064.2260917372</v>
      </c>
      <c r="H289" s="29" t="n">
        <f aca="false">MAX(0,'Visitor Economics'!$B$18*B289*C289*D289)</f>
        <v>601402.689034545</v>
      </c>
      <c r="I289" s="29" t="n">
        <f aca="false">H289*Controls!$B$52</f>
        <v>853991.818429055</v>
      </c>
      <c r="J289" s="29" t="n">
        <f aca="false">'City Fiscal'!$B$5+(H289*Controls!$B$56*Controls!$B$55)+('City Fiscal'!$B$9*B289*F289)</f>
        <v>140570.849213787</v>
      </c>
      <c r="K289" s="29" t="n">
        <f aca="false">J289-('City Fiscal'!$B$13*E289)</f>
        <v>27358.5029703777</v>
      </c>
      <c r="L289" s="30" t="n">
        <f aca="false">'Mobility &amp; Emissions'!$B$21*B289*F289</f>
        <v>80.6729086141823</v>
      </c>
    </row>
    <row r="290" customFormat="false" ht="15" hidden="false" customHeight="true" outlineLevel="0" collapsed="false">
      <c r="A290" s="14" t="n">
        <v>286</v>
      </c>
      <c r="B290" s="47" t="n">
        <v>0.959304036378026</v>
      </c>
      <c r="C290" s="47" t="n">
        <v>0.967427948503667</v>
      </c>
      <c r="D290" s="47" t="n">
        <v>1.12060235705393</v>
      </c>
      <c r="E290" s="47" t="n">
        <v>1.01550852893975</v>
      </c>
      <c r="F290" s="47" t="n">
        <v>1.04361626064102</v>
      </c>
      <c r="G290" s="27" t="n">
        <f aca="false">'Visitor Economics'!$B$5*B290</f>
        <v>30889.5899713724</v>
      </c>
      <c r="H290" s="29" t="n">
        <f aca="false">MAX(0,'Visitor Economics'!$B$18*B290*C290*D290)</f>
        <v>752525.295206808</v>
      </c>
      <c r="I290" s="29" t="n">
        <f aca="false">H290*Controls!$B$52</f>
        <v>1068585.91919367</v>
      </c>
      <c r="J290" s="29" t="n">
        <f aca="false">'City Fiscal'!$B$5+(H290*Controls!$B$56*Controls!$B$55)+('City Fiscal'!$B$9*B290*F290)</f>
        <v>156056.582072645</v>
      </c>
      <c r="K290" s="29" t="n">
        <f aca="false">J290-('City Fiscal'!$B$13*E290)</f>
        <v>44350.6438892726</v>
      </c>
      <c r="L290" s="30" t="n">
        <f aca="false">'Mobility &amp; Emissions'!$B$21*B290*F290</f>
        <v>93.4385919805404</v>
      </c>
    </row>
    <row r="291" customFormat="false" ht="15" hidden="false" customHeight="true" outlineLevel="0" collapsed="false">
      <c r="A291" s="14" t="n">
        <v>287</v>
      </c>
      <c r="B291" s="47" t="n">
        <v>0.876908203987072</v>
      </c>
      <c r="C291" s="47" t="n">
        <v>1.04713025319105</v>
      </c>
      <c r="D291" s="47" t="n">
        <v>0.922541572883142</v>
      </c>
      <c r="E291" s="47" t="n">
        <v>1.16050838028061</v>
      </c>
      <c r="F291" s="47" t="n">
        <v>1.03294232190924</v>
      </c>
      <c r="G291" s="27" t="n">
        <f aca="false">'Visitor Economics'!$B$5*B291</f>
        <v>28236.4441683837</v>
      </c>
      <c r="H291" s="29" t="n">
        <f aca="false">MAX(0,'Visitor Economics'!$B$18*B291*C291*D291)</f>
        <v>612964.687779176</v>
      </c>
      <c r="I291" s="29" t="n">
        <f aca="false">H291*Controls!$B$52</f>
        <v>870409.85664643</v>
      </c>
      <c r="J291" s="29" t="n">
        <f aca="false">'City Fiscal'!$B$5+(H291*Controls!$B$56*Controls!$B$55)+('City Fiscal'!$B$9*B291*F291)</f>
        <v>145039.559878826</v>
      </c>
      <c r="K291" s="29" t="n">
        <f aca="false">J291-('City Fiscal'!$B$13*E291)</f>
        <v>17383.638047959</v>
      </c>
      <c r="L291" s="30" t="n">
        <f aca="false">'Mobility &amp; Emissions'!$B$21*B291*F291</f>
        <v>84.539442857775</v>
      </c>
    </row>
    <row r="292" customFormat="false" ht="15" hidden="false" customHeight="true" outlineLevel="0" collapsed="false">
      <c r="A292" s="14" t="n">
        <v>288</v>
      </c>
      <c r="B292" s="47" t="n">
        <v>0.903712570096979</v>
      </c>
      <c r="C292" s="47" t="n">
        <v>0.988774998148422</v>
      </c>
      <c r="D292" s="47" t="n">
        <v>1.03717084316288</v>
      </c>
      <c r="E292" s="47" t="n">
        <v>0.963351665494336</v>
      </c>
      <c r="F292" s="47" t="n">
        <v>1.0639622176018</v>
      </c>
      <c r="G292" s="27" t="n">
        <f aca="false">'Visitor Economics'!$B$5*B292</f>
        <v>29099.5447571227</v>
      </c>
      <c r="H292" s="29" t="n">
        <f aca="false">MAX(0,'Visitor Economics'!$B$18*B292*C292*D292)</f>
        <v>670614.236028372</v>
      </c>
      <c r="I292" s="29" t="n">
        <f aca="false">H292*Controls!$B$52</f>
        <v>952272.215160288</v>
      </c>
      <c r="J292" s="29" t="n">
        <f aca="false">'City Fiscal'!$B$5+(H292*Controls!$B$56*Controls!$B$55)+('City Fiscal'!$B$9*B292*F292)</f>
        <v>151322.768512666</v>
      </c>
      <c r="K292" s="29" t="n">
        <f aca="false">J292-('City Fiscal'!$B$13*E292)</f>
        <v>45354.0853082889</v>
      </c>
      <c r="L292" s="30" t="n">
        <f aca="false">'Mobility &amp; Emissions'!$B$21*B292*F292</f>
        <v>89.7399256716178</v>
      </c>
    </row>
    <row r="293" customFormat="false" ht="15" hidden="false" customHeight="true" outlineLevel="0" collapsed="false">
      <c r="A293" s="14" t="n">
        <v>289</v>
      </c>
      <c r="B293" s="47" t="n">
        <v>0.971379016875427</v>
      </c>
      <c r="C293" s="47" t="n">
        <v>1.08181623381593</v>
      </c>
      <c r="D293" s="47" t="n">
        <v>0.799023669467272</v>
      </c>
      <c r="E293" s="47" t="n">
        <v>1.0306686296947</v>
      </c>
      <c r="F293" s="47" t="n">
        <v>0.968205329829073</v>
      </c>
      <c r="G293" s="27" t="n">
        <f aca="false">'Visitor Economics'!$B$5*B293</f>
        <v>31278.4043433888</v>
      </c>
      <c r="H293" s="29" t="n">
        <f aca="false">MAX(0,'Visitor Economics'!$B$18*B293*C293*D293)</f>
        <v>607570.286386118</v>
      </c>
      <c r="I293" s="29" t="n">
        <f aca="false">H293*Controls!$B$52</f>
        <v>862749.806668288</v>
      </c>
      <c r="J293" s="29" t="n">
        <f aca="false">'City Fiscal'!$B$5+(H293*Controls!$B$56*Controls!$B$55)+('City Fiscal'!$B$9*B293*F293)</f>
        <v>148684.709689169</v>
      </c>
      <c r="K293" s="29" t="n">
        <f aca="false">J293-('City Fiscal'!$B$13*E293)</f>
        <v>35311.1604227525</v>
      </c>
      <c r="L293" s="30" t="n">
        <f aca="false">'Mobility &amp; Emissions'!$B$21*B293*F293</f>
        <v>87.7779357253809</v>
      </c>
    </row>
    <row r="294" customFormat="false" ht="15" hidden="false" customHeight="true" outlineLevel="0" collapsed="false">
      <c r="A294" s="14" t="n">
        <v>290</v>
      </c>
      <c r="B294" s="47" t="n">
        <v>0.944342878722489</v>
      </c>
      <c r="C294" s="47" t="n">
        <v>1.08475797962659</v>
      </c>
      <c r="D294" s="47" t="n">
        <v>1.05685174088281</v>
      </c>
      <c r="E294" s="47" t="n">
        <v>1.16803201844623</v>
      </c>
      <c r="F294" s="47" t="n">
        <v>0.904290883212562</v>
      </c>
      <c r="G294" s="27" t="n">
        <f aca="false">'Visitor Economics'!$B$5*B294</f>
        <v>30407.8406948641</v>
      </c>
      <c r="H294" s="29" t="n">
        <f aca="false">MAX(0,'Visitor Economics'!$B$18*B294*C294*D294)</f>
        <v>783377.87196677</v>
      </c>
      <c r="I294" s="29" t="n">
        <f aca="false">H294*Controls!$B$52</f>
        <v>1112396.57819281</v>
      </c>
      <c r="J294" s="29" t="n">
        <f aca="false">'City Fiscal'!$B$5+(H294*Controls!$B$56*Controls!$B$55)+('City Fiscal'!$B$9*B294*F294)</f>
        <v>140646.288319554</v>
      </c>
      <c r="K294" s="29" t="n">
        <f aca="false">J294-('City Fiscal'!$B$13*E294)</f>
        <v>12162.7662904689</v>
      </c>
      <c r="L294" s="30" t="n">
        <f aca="false">'Mobility &amp; Emissions'!$B$21*B294*F294</f>
        <v>79.7015997441044</v>
      </c>
    </row>
    <row r="295" customFormat="false" ht="15" hidden="false" customHeight="true" outlineLevel="0" collapsed="false">
      <c r="A295" s="14" t="n">
        <v>291</v>
      </c>
      <c r="B295" s="47" t="n">
        <v>0.915631854665488</v>
      </c>
      <c r="C295" s="47" t="n">
        <v>0.992101714111162</v>
      </c>
      <c r="D295" s="47" t="n">
        <v>1.05533682936929</v>
      </c>
      <c r="E295" s="47" t="n">
        <v>0.875292856681492</v>
      </c>
      <c r="F295" s="47" t="n">
        <v>1.00793487408938</v>
      </c>
      <c r="G295" s="27" t="n">
        <f aca="false">'Visitor Economics'!$B$5*B295</f>
        <v>29483.3457202287</v>
      </c>
      <c r="H295" s="29" t="n">
        <f aca="false">MAX(0,'Visitor Economics'!$B$18*B295*C295*D295)</f>
        <v>693685.884539456</v>
      </c>
      <c r="I295" s="29" t="n">
        <f aca="false">H295*Controls!$B$52</f>
        <v>985033.956046027</v>
      </c>
      <c r="J295" s="29" t="n">
        <f aca="false">'City Fiscal'!$B$5+(H295*Controls!$B$56*Controls!$B$55)+('City Fiscal'!$B$9*B295*F295)</f>
        <v>147376.416230222</v>
      </c>
      <c r="K295" s="29" t="n">
        <f aca="false">J295-('City Fiscal'!$B$13*E295)</f>
        <v>51094.2019952579</v>
      </c>
      <c r="L295" s="30" t="n">
        <f aca="false">'Mobility &amp; Emissions'!$B$21*B295*F295</f>
        <v>86.1355718945976</v>
      </c>
    </row>
    <row r="296" customFormat="false" ht="15" hidden="false" customHeight="true" outlineLevel="0" collapsed="false">
      <c r="A296" s="14" t="n">
        <v>292</v>
      </c>
      <c r="B296" s="47" t="n">
        <v>0.857876825821293</v>
      </c>
      <c r="C296" s="47" t="n">
        <v>1.0757055308193</v>
      </c>
      <c r="D296" s="47" t="n">
        <v>0.970643908898239</v>
      </c>
      <c r="E296" s="47" t="n">
        <v>1.04537534361666</v>
      </c>
      <c r="F296" s="47" t="n">
        <v>1.02694513418804</v>
      </c>
      <c r="G296" s="27" t="n">
        <f aca="false">'Visitor Economics'!$B$5*B296</f>
        <v>27623.6337914456</v>
      </c>
      <c r="H296" s="29" t="n">
        <f aca="false">MAX(0,'Visitor Economics'!$B$18*B296*C296*D296)</f>
        <v>648146.142919745</v>
      </c>
      <c r="I296" s="29" t="n">
        <f aca="false">H296*Controls!$B$52</f>
        <v>920367.522946038</v>
      </c>
      <c r="J296" s="29" t="n">
        <f aca="false">'City Fiscal'!$B$5+(H296*Controls!$B$56*Controls!$B$55)+('City Fiscal'!$B$9*B296*F296)</f>
        <v>142636.943104545</v>
      </c>
      <c r="K296" s="29" t="n">
        <f aca="false">J296-('City Fiscal'!$B$13*E296)</f>
        <v>27645.6553067128</v>
      </c>
      <c r="L296" s="30" t="n">
        <f aca="false">'Mobility &amp; Emissions'!$B$21*B296*F296</f>
        <v>82.2245213666144</v>
      </c>
    </row>
    <row r="297" customFormat="false" ht="15" hidden="false" customHeight="true" outlineLevel="0" collapsed="false">
      <c r="A297" s="14" t="n">
        <v>293</v>
      </c>
      <c r="B297" s="47" t="n">
        <v>0.916864896887405</v>
      </c>
      <c r="C297" s="47" t="n">
        <v>0.889519781357539</v>
      </c>
      <c r="D297" s="47" t="n">
        <v>0.865983137881796</v>
      </c>
      <c r="E297" s="47" t="n">
        <v>1.06907529190296</v>
      </c>
      <c r="F297" s="47" t="n">
        <v>1.00667344977291</v>
      </c>
      <c r="G297" s="27" t="n">
        <f aca="false">'Visitor Economics'!$B$5*B297</f>
        <v>29523.0496797744</v>
      </c>
      <c r="H297" s="29" t="n">
        <f aca="false">MAX(0,'Visitor Economics'!$B$18*B297*C297*D297)</f>
        <v>511051.963653398</v>
      </c>
      <c r="I297" s="29" t="n">
        <f aca="false">H297*Controls!$B$52</f>
        <v>725693.788387825</v>
      </c>
      <c r="J297" s="29" t="n">
        <f aca="false">'City Fiscal'!$B$5+(H297*Controls!$B$56*Controls!$B$55)+('City Fiscal'!$B$9*B297*F297)</f>
        <v>146202.098172846</v>
      </c>
      <c r="K297" s="29" t="n">
        <f aca="false">J297-('City Fiscal'!$B$13*E297)</f>
        <v>28603.8160635208</v>
      </c>
      <c r="L297" s="30" t="n">
        <f aca="false">'Mobility &amp; Emissions'!$B$21*B297*F297</f>
        <v>86.1436236745677</v>
      </c>
    </row>
    <row r="298" customFormat="false" ht="15" hidden="false" customHeight="true" outlineLevel="0" collapsed="false">
      <c r="A298" s="14" t="n">
        <v>294</v>
      </c>
      <c r="B298" s="47" t="n">
        <v>0.925575426927097</v>
      </c>
      <c r="C298" s="47" t="n">
        <v>0.950525859506843</v>
      </c>
      <c r="D298" s="47" t="n">
        <v>0.878849886191133</v>
      </c>
      <c r="E298" s="47" t="n">
        <v>0.975771948694237</v>
      </c>
      <c r="F298" s="47" t="n">
        <v>1.05407033826808</v>
      </c>
      <c r="G298" s="27" t="n">
        <f aca="false">'Visitor Economics'!$B$5*B298</f>
        <v>29803.5287470525</v>
      </c>
      <c r="H298" s="29" t="n">
        <f aca="false">MAX(0,'Visitor Economics'!$B$18*B298*C298*D298)</f>
        <v>559480.717242206</v>
      </c>
      <c r="I298" s="29" t="n">
        <f aca="false">H298*Controls!$B$52</f>
        <v>794462.618483932</v>
      </c>
      <c r="J298" s="29" t="n">
        <f aca="false">'City Fiscal'!$B$5+(H298*Controls!$B$56*Controls!$B$55)+('City Fiscal'!$B$9*B298*F298)</f>
        <v>152098.642772415</v>
      </c>
      <c r="K298" s="29" t="n">
        <f aca="false">J298-('City Fiscal'!$B$13*E298)</f>
        <v>44763.7284160492</v>
      </c>
      <c r="L298" s="30" t="n">
        <f aca="false">'Mobility &amp; Emissions'!$B$21*B298*F298</f>
        <v>91.0564227977235</v>
      </c>
    </row>
    <row r="299" customFormat="false" ht="15" hidden="false" customHeight="true" outlineLevel="0" collapsed="false">
      <c r="A299" s="14" t="n">
        <v>295</v>
      </c>
      <c r="B299" s="47" t="n">
        <v>0.899287887063188</v>
      </c>
      <c r="C299" s="47" t="n">
        <v>0.93723054209548</v>
      </c>
      <c r="D299" s="47" t="n">
        <v>1.12475523963055</v>
      </c>
      <c r="E299" s="47" t="n">
        <v>1.1611110243056</v>
      </c>
      <c r="F299" s="47" t="n">
        <v>0.963346812923875</v>
      </c>
      <c r="G299" s="27" t="n">
        <f aca="false">'Visitor Economics'!$B$5*B299</f>
        <v>28957.0699634347</v>
      </c>
      <c r="H299" s="29" t="n">
        <f aca="false">MAX(0,'Visitor Economics'!$B$18*B299*C299*D299)</f>
        <v>685958.545904202</v>
      </c>
      <c r="I299" s="29" t="n">
        <f aca="false">H299*Controls!$B$52</f>
        <v>974061.135183967</v>
      </c>
      <c r="J299" s="29" t="n">
        <f aca="false">'City Fiscal'!$B$5+(H299*Controls!$B$56*Controls!$B$55)+('City Fiscal'!$B$9*B299*F299)</f>
        <v>141326.476746761</v>
      </c>
      <c r="K299" s="29" t="n">
        <f aca="false">J299-('City Fiscal'!$B$13*E299)</f>
        <v>13604.2640731445</v>
      </c>
      <c r="L299" s="30" t="n">
        <f aca="false">'Mobility &amp; Emissions'!$B$21*B299*F299</f>
        <v>80.8556895249852</v>
      </c>
    </row>
    <row r="300" customFormat="false" ht="15" hidden="false" customHeight="true" outlineLevel="0" collapsed="false">
      <c r="A300" s="14" t="n">
        <v>296</v>
      </c>
      <c r="B300" s="47" t="n">
        <v>0.958713786215822</v>
      </c>
      <c r="C300" s="47" t="n">
        <v>0.948230261638975</v>
      </c>
      <c r="D300" s="47" t="n">
        <v>1.06942799220256</v>
      </c>
      <c r="E300" s="47" t="n">
        <v>0.879992499531191</v>
      </c>
      <c r="F300" s="47" t="n">
        <v>1.04837569188427</v>
      </c>
      <c r="G300" s="27" t="n">
        <f aca="false">'Visitor Economics'!$B$5*B300</f>
        <v>30870.5839161495</v>
      </c>
      <c r="H300" s="29" t="n">
        <f aca="false">MAX(0,'Visitor Economics'!$B$18*B300*C300*D300)</f>
        <v>703475.538889673</v>
      </c>
      <c r="I300" s="29" t="n">
        <f aca="false">H300*Controls!$B$52</f>
        <v>998935.265223335</v>
      </c>
      <c r="J300" s="29" t="n">
        <f aca="false">'City Fiscal'!$B$5+(H300*Controls!$B$56*Controls!$B$55)+('City Fiscal'!$B$9*B300*F300)</f>
        <v>156157.346928414</v>
      </c>
      <c r="K300" s="29" t="n">
        <f aca="false">J300-('City Fiscal'!$B$13*E300)</f>
        <v>59358.1719799825</v>
      </c>
      <c r="L300" s="30" t="n">
        <f aca="false">'Mobility &amp; Emissions'!$B$21*B300*F300</f>
        <v>93.8069663840395</v>
      </c>
    </row>
    <row r="301" customFormat="false" ht="15" hidden="false" customHeight="true" outlineLevel="0" collapsed="false">
      <c r="A301" s="14" t="n">
        <v>297</v>
      </c>
      <c r="B301" s="47" t="n">
        <v>0.798782971010998</v>
      </c>
      <c r="C301" s="47" t="n">
        <v>1.08277097906203</v>
      </c>
      <c r="D301" s="47" t="n">
        <v>1.13400969868131</v>
      </c>
      <c r="E301" s="47" t="n">
        <v>1.10100755052688</v>
      </c>
      <c r="F301" s="47" t="n">
        <v>1.02878737689498</v>
      </c>
      <c r="G301" s="27" t="n">
        <f aca="false">'Visitor Economics'!$B$5*B301</f>
        <v>25720.8116665541</v>
      </c>
      <c r="H301" s="29" t="n">
        <f aca="false">MAX(0,'Visitor Economics'!$B$18*B301*C301*D301)</f>
        <v>709703.330467349</v>
      </c>
      <c r="I301" s="29" t="n">
        <f aca="false">H301*Controls!$B$52</f>
        <v>1007778.72926364</v>
      </c>
      <c r="J301" s="29" t="n">
        <f aca="false">'City Fiscal'!$B$5+(H301*Controls!$B$56*Controls!$B$55)+('City Fiscal'!$B$9*B301*F301)</f>
        <v>136755.607799586</v>
      </c>
      <c r="K301" s="29" t="n">
        <f aca="false">J301-('City Fiscal'!$B$13*E301)</f>
        <v>15644.7772416292</v>
      </c>
      <c r="L301" s="30" t="n">
        <f aca="false">'Mobility &amp; Emissions'!$B$21*B301*F301</f>
        <v>76.6979225919786</v>
      </c>
    </row>
    <row r="302" customFormat="false" ht="15" hidden="false" customHeight="true" outlineLevel="0" collapsed="false">
      <c r="A302" s="14" t="n">
        <v>298</v>
      </c>
      <c r="B302" s="47" t="n">
        <v>0.861873072496395</v>
      </c>
      <c r="C302" s="47" t="n">
        <v>0.915105204904884</v>
      </c>
      <c r="D302" s="47" t="n">
        <v>0.911603571380111</v>
      </c>
      <c r="E302" s="47" t="n">
        <v>1.02296200758463</v>
      </c>
      <c r="F302" s="47" t="n">
        <v>0.988699315066802</v>
      </c>
      <c r="G302" s="27" t="n">
        <f aca="false">'Visitor Economics'!$B$5*B302</f>
        <v>27752.3129343839</v>
      </c>
      <c r="H302" s="29" t="n">
        <f aca="false">MAX(0,'Visitor Economics'!$B$18*B302*C302*D302)</f>
        <v>520253.517593813</v>
      </c>
      <c r="I302" s="29" t="n">
        <f aca="false">H302*Controls!$B$52</f>
        <v>738759.994983214</v>
      </c>
      <c r="J302" s="29" t="n">
        <f aca="false">'City Fiscal'!$B$5+(H302*Controls!$B$56*Controls!$B$55)+('City Fiscal'!$B$9*B302*F302)</f>
        <v>138747.43717023</v>
      </c>
      <c r="K302" s="29" t="n">
        <f aca="false">J302-('City Fiscal'!$B$13*E302)</f>
        <v>26221.616335921</v>
      </c>
      <c r="L302" s="30" t="n">
        <f aca="false">'Mobility &amp; Emissions'!$B$21*B302*F302</f>
        <v>79.5310510510757</v>
      </c>
    </row>
    <row r="303" customFormat="false" ht="15" hidden="false" customHeight="true" outlineLevel="0" collapsed="false">
      <c r="A303" s="14" t="n">
        <v>299</v>
      </c>
      <c r="B303" s="47" t="n">
        <v>0.899569226810246</v>
      </c>
      <c r="C303" s="47" t="n">
        <v>0.989094648052504</v>
      </c>
      <c r="D303" s="47" t="n">
        <v>0.945063321183115</v>
      </c>
      <c r="E303" s="47" t="n">
        <v>1.2148396530165</v>
      </c>
      <c r="F303" s="47" t="n">
        <v>0.940870787385166</v>
      </c>
      <c r="G303" s="27" t="n">
        <f aca="false">'Visitor Economics'!$B$5*B303</f>
        <v>28966.1291032899</v>
      </c>
      <c r="H303" s="29" t="n">
        <f aca="false">MAX(0,'Visitor Economics'!$B$18*B303*C303*D303)</f>
        <v>608454.377430166</v>
      </c>
      <c r="I303" s="29" t="n">
        <f aca="false">H303*Controls!$B$52</f>
        <v>864005.215950835</v>
      </c>
      <c r="J303" s="29" t="n">
        <f aca="false">'City Fiscal'!$B$5+(H303*Controls!$B$56*Controls!$B$55)+('City Fiscal'!$B$9*B303*F303)</f>
        <v>138708.620211204</v>
      </c>
      <c r="K303" s="29" t="n">
        <f aca="false">J303-('City Fiscal'!$B$13*E303)</f>
        <v>5076.25837938886</v>
      </c>
      <c r="L303" s="30" t="n">
        <f aca="false">'Mobility &amp; Emissions'!$B$21*B303*F303</f>
        <v>78.9939355440016</v>
      </c>
    </row>
    <row r="304" customFormat="false" ht="15" hidden="false" customHeight="true" outlineLevel="0" collapsed="false">
      <c r="A304" s="14" t="n">
        <v>300</v>
      </c>
      <c r="B304" s="47" t="n">
        <v>0.914011939766575</v>
      </c>
      <c r="C304" s="47" t="n">
        <v>0.971759678439301</v>
      </c>
      <c r="D304" s="47" t="n">
        <v>0.930309347680043</v>
      </c>
      <c r="E304" s="47" t="n">
        <v>1.10954983090078</v>
      </c>
      <c r="F304" s="47" t="n">
        <v>0.996739565216747</v>
      </c>
      <c r="G304" s="27" t="n">
        <f aca="false">'Visitor Economics'!$B$5*B304</f>
        <v>29431.1844604837</v>
      </c>
      <c r="H304" s="29" t="n">
        <f aca="false">MAX(0,'Visitor Economics'!$B$18*B304*C304*D304)</f>
        <v>597905.843672809</v>
      </c>
      <c r="I304" s="29" t="n">
        <f aca="false">H304*Controls!$B$52</f>
        <v>849026.298015389</v>
      </c>
      <c r="J304" s="29" t="n">
        <f aca="false">'City Fiscal'!$B$5+(H304*Controls!$B$56*Controls!$B$55)+('City Fiscal'!$B$9*B304*F304)</f>
        <v>145497.330514238</v>
      </c>
      <c r="K304" s="29" t="n">
        <f aca="false">J304-('City Fiscal'!$B$13*E304)</f>
        <v>23446.8491151517</v>
      </c>
      <c r="L304" s="30" t="n">
        <f aca="false">'Mobility &amp; Emissions'!$B$21*B304*F304</f>
        <v>85.0281525695692</v>
      </c>
    </row>
    <row r="305" customFormat="false" ht="15" hidden="false" customHeight="true" outlineLevel="0" collapsed="false">
      <c r="A305" s="14" t="n">
        <v>301</v>
      </c>
      <c r="B305" s="47" t="n">
        <v>0.812533060108142</v>
      </c>
      <c r="C305" s="47" t="n">
        <v>0.990367250374008</v>
      </c>
      <c r="D305" s="47" t="n">
        <v>0.926476960645693</v>
      </c>
      <c r="E305" s="47" t="n">
        <v>1.19368614735254</v>
      </c>
      <c r="F305" s="47" t="n">
        <v>0.960939172522604</v>
      </c>
      <c r="G305" s="27" t="n">
        <f aca="false">'Visitor Economics'!$B$5*B305</f>
        <v>26163.5645354822</v>
      </c>
      <c r="H305" s="29" t="n">
        <f aca="false">MAX(0,'Visitor Economics'!$B$18*B305*C305*D305)</f>
        <v>539469.137910968</v>
      </c>
      <c r="I305" s="29" t="n">
        <f aca="false">H305*Controls!$B$52</f>
        <v>766046.175833574</v>
      </c>
      <c r="J305" s="29" t="n">
        <f aca="false">'City Fiscal'!$B$5+(H305*Controls!$B$56*Controls!$B$55)+('City Fiscal'!$B$9*B305*F305)</f>
        <v>131305.885432214</v>
      </c>
      <c r="K305" s="29" t="n">
        <f aca="false">J305-('City Fiscal'!$B$13*E305)</f>
        <v>0.40922343445709</v>
      </c>
      <c r="L305" s="30" t="n">
        <f aca="false">'Mobility &amp; Emissions'!$B$21*B305*F305</f>
        <v>72.8729103683247</v>
      </c>
    </row>
    <row r="306" customFormat="false" ht="15" hidden="false" customHeight="true" outlineLevel="0" collapsed="false">
      <c r="A306" s="14" t="n">
        <v>302</v>
      </c>
      <c r="B306" s="47" t="n">
        <v>0.919539241792408</v>
      </c>
      <c r="C306" s="47" t="n">
        <v>1.0222349755792</v>
      </c>
      <c r="D306" s="47" t="n">
        <v>0.966808725706269</v>
      </c>
      <c r="E306" s="47" t="n">
        <v>0.996722664081323</v>
      </c>
      <c r="F306" s="47" t="n">
        <v>0.980336103977371</v>
      </c>
      <c r="G306" s="27" t="n">
        <f aca="false">'Visitor Economics'!$B$5*B306</f>
        <v>29609.1635857155</v>
      </c>
      <c r="H306" s="29" t="n">
        <f aca="false">MAX(0,'Visitor Economics'!$B$18*B306*C306*D306)</f>
        <v>657591.566511935</v>
      </c>
      <c r="I306" s="29" t="n">
        <f aca="false">H306*Controls!$B$52</f>
        <v>933780.024446947</v>
      </c>
      <c r="J306" s="29" t="n">
        <f aca="false">'City Fiscal'!$B$5+(H306*Controls!$B$56*Controls!$B$55)+('City Fiscal'!$B$9*B306*F306)</f>
        <v>144868.650861991</v>
      </c>
      <c r="K306" s="29" t="n">
        <f aca="false">J306-('City Fiscal'!$B$13*E306)</f>
        <v>35229.1578130458</v>
      </c>
      <c r="L306" s="30" t="n">
        <f aca="false">'Mobility &amp; Emissions'!$B$21*B306*F306</f>
        <v>84.1345626096747</v>
      </c>
    </row>
    <row r="307" customFormat="false" ht="15" hidden="false" customHeight="true" outlineLevel="0" collapsed="false">
      <c r="A307" s="14" t="n">
        <v>303</v>
      </c>
      <c r="B307" s="47" t="n">
        <v>0.896581302102867</v>
      </c>
      <c r="C307" s="47" t="n">
        <v>0.982914087788626</v>
      </c>
      <c r="D307" s="47" t="n">
        <v>1.17373565708668</v>
      </c>
      <c r="E307" s="47" t="n">
        <v>1.05533682936929</v>
      </c>
      <c r="F307" s="47" t="n">
        <v>0.938867879461592</v>
      </c>
      <c r="G307" s="27" t="n">
        <f aca="false">'Visitor Economics'!$B$5*B307</f>
        <v>28869.9179277123</v>
      </c>
      <c r="H307" s="29" t="n">
        <f aca="false">MAX(0,'Visitor Economics'!$B$18*B307*C307*D307)</f>
        <v>748462.774410827</v>
      </c>
      <c r="I307" s="29" t="n">
        <f aca="false">H307*Controls!$B$52</f>
        <v>1062817.13966337</v>
      </c>
      <c r="J307" s="29" t="n">
        <f aca="false">'City Fiscal'!$B$5+(H307*Controls!$B$56*Controls!$B$55)+('City Fiscal'!$B$9*B307*F307)</f>
        <v>139127.259749347</v>
      </c>
      <c r="K307" s="29" t="n">
        <f aca="false">J307-('City Fiscal'!$B$13*E307)</f>
        <v>23040.2085187247</v>
      </c>
      <c r="L307" s="30" t="n">
        <f aca="false">'Mobility &amp; Emissions'!$B$21*B307*F307</f>
        <v>78.5639544546247</v>
      </c>
    </row>
    <row r="308" customFormat="false" ht="15" hidden="false" customHeight="true" outlineLevel="0" collapsed="false">
      <c r="A308" s="14" t="n">
        <v>304</v>
      </c>
      <c r="B308" s="47" t="n">
        <v>0.876560861636587</v>
      </c>
      <c r="C308" s="47" t="n">
        <v>0.895119904153294</v>
      </c>
      <c r="D308" s="47" t="n">
        <v>0.974934604419021</v>
      </c>
      <c r="E308" s="47" t="n">
        <v>1.0111930696148</v>
      </c>
      <c r="F308" s="47" t="n">
        <v>0.916238206497459</v>
      </c>
      <c r="G308" s="27" t="n">
        <f aca="false">'Visitor Economics'!$B$5*B308</f>
        <v>28225.2597446981</v>
      </c>
      <c r="H308" s="29" t="n">
        <f aca="false">MAX(0,'Visitor Economics'!$B$18*B308*C308*D308)</f>
        <v>553520.16237735</v>
      </c>
      <c r="I308" s="29" t="n">
        <f aca="false">H308*Controls!$B$52</f>
        <v>785998.630575836</v>
      </c>
      <c r="J308" s="29" t="n">
        <f aca="false">'City Fiscal'!$B$5+(H308*Controls!$B$56*Controls!$B$55)+('City Fiscal'!$B$9*B308*F308)</f>
        <v>133766.681527809</v>
      </c>
      <c r="K308" s="29" t="n">
        <f aca="false">J308-('City Fiscal'!$B$13*E308)</f>
        <v>22535.4438701807</v>
      </c>
      <c r="L308" s="30" t="n">
        <f aca="false">'Mobility &amp; Emissions'!$B$21*B308*F308</f>
        <v>74.958286370531</v>
      </c>
    </row>
    <row r="309" customFormat="false" ht="15" hidden="false" customHeight="true" outlineLevel="0" collapsed="false">
      <c r="A309" s="14" t="n">
        <v>305</v>
      </c>
      <c r="B309" s="47" t="n">
        <v>0.902209655919653</v>
      </c>
      <c r="C309" s="47" t="n">
        <v>0.958942434122913</v>
      </c>
      <c r="D309" s="47" t="n">
        <v>0.905160297219206</v>
      </c>
      <c r="E309" s="47" t="n">
        <v>0.919729133155763</v>
      </c>
      <c r="F309" s="47" t="n">
        <v>0.990792400363088</v>
      </c>
      <c r="G309" s="27" t="n">
        <f aca="false">'Visitor Economics'!$B$5*B309</f>
        <v>29051.1509206128</v>
      </c>
      <c r="H309" s="29" t="n">
        <f aca="false">MAX(0,'Visitor Economics'!$B$18*B309*C309*D309)</f>
        <v>566656.890041918</v>
      </c>
      <c r="I309" s="29" t="n">
        <f aca="false">H309*Controls!$B$52</f>
        <v>804652.783859523</v>
      </c>
      <c r="J309" s="29" t="n">
        <f aca="false">'City Fiscal'!$B$5+(H309*Controls!$B$56*Controls!$B$55)+('City Fiscal'!$B$9*B309*F309)</f>
        <v>143478.115303276</v>
      </c>
      <c r="K309" s="29" t="n">
        <f aca="false">J309-('City Fiscal'!$B$13*E309)</f>
        <v>42307.9106561418</v>
      </c>
      <c r="L309" s="30" t="n">
        <f aca="false">'Mobility &amp; Emissions'!$B$21*B309*F309</f>
        <v>83.4294372171076</v>
      </c>
    </row>
    <row r="310" customFormat="false" ht="15" hidden="false" customHeight="true" outlineLevel="0" collapsed="false">
      <c r="A310" s="14" t="n">
        <v>306</v>
      </c>
      <c r="B310" s="47" t="n">
        <v>0.945945965673706</v>
      </c>
      <c r="C310" s="47" t="n">
        <v>0.859230090491866</v>
      </c>
      <c r="D310" s="47" t="n">
        <v>1.06146949848897</v>
      </c>
      <c r="E310" s="47" t="n">
        <v>1.05783795900335</v>
      </c>
      <c r="F310" s="47" t="n">
        <v>1.01425207183902</v>
      </c>
      <c r="G310" s="27" t="n">
        <f aca="false">'Visitor Economics'!$B$5*B310</f>
        <v>30459.4600946933</v>
      </c>
      <c r="H310" s="29" t="n">
        <f aca="false">MAX(0,'Visitor Economics'!$B$18*B310*C310*D310)</f>
        <v>624277.950333687</v>
      </c>
      <c r="I310" s="29" t="n">
        <f aca="false">H310*Controls!$B$52</f>
        <v>886474.689473835</v>
      </c>
      <c r="J310" s="29" t="n">
        <f aca="false">'City Fiscal'!$B$5+(H310*Controls!$B$56*Controls!$B$55)+('City Fiscal'!$B$9*B310*F310)</f>
        <v>150801.018979351</v>
      </c>
      <c r="K310" s="29" t="n">
        <f aca="false">J310-('City Fiscal'!$B$13*E310)</f>
        <v>34438.8434889821</v>
      </c>
      <c r="L310" s="30" t="n">
        <f aca="false">'Mobility &amp; Emissions'!$B$21*B310*F310</f>
        <v>89.5450141178457</v>
      </c>
    </row>
    <row r="311" customFormat="false" ht="15" hidden="false" customHeight="true" outlineLevel="0" collapsed="false">
      <c r="A311" s="14" t="n">
        <v>307</v>
      </c>
      <c r="B311" s="47" t="n">
        <v>0.891874930167576</v>
      </c>
      <c r="C311" s="47" t="n">
        <v>1.08911310957704</v>
      </c>
      <c r="D311" s="47" t="n">
        <v>0.807847800631289</v>
      </c>
      <c r="E311" s="47" t="n">
        <v>1.19867992595485</v>
      </c>
      <c r="F311" s="47" t="n">
        <v>0.878853076092507</v>
      </c>
      <c r="G311" s="27" t="n">
        <f aca="false">'Visitor Economics'!$B$5*B311</f>
        <v>28718.372751396</v>
      </c>
      <c r="H311" s="29" t="n">
        <f aca="false">MAX(0,'Visitor Economics'!$B$18*B311*C311*D311)</f>
        <v>567807.544347528</v>
      </c>
      <c r="I311" s="29" t="n">
        <f aca="false">H311*Controls!$B$52</f>
        <v>806286.71297349</v>
      </c>
      <c r="J311" s="29" t="n">
        <f aca="false">'City Fiscal'!$B$5+(H311*Controls!$B$56*Controls!$B$55)+('City Fiscal'!$B$9*B311*F311)</f>
        <v>131811.107467104</v>
      </c>
      <c r="K311" s="29" t="n">
        <f aca="false">J311-('City Fiscal'!$B$13*E311)</f>
        <v>-43.6843879299995</v>
      </c>
      <c r="L311" s="30" t="n">
        <f aca="false">'Mobility &amp; Emissions'!$B$21*B311*F311</f>
        <v>73.1559088301637</v>
      </c>
    </row>
    <row r="312" customFormat="false" ht="15" hidden="false" customHeight="true" outlineLevel="0" collapsed="false">
      <c r="A312" s="14" t="n">
        <v>308</v>
      </c>
      <c r="B312" s="47" t="n">
        <v>0.938391176947587</v>
      </c>
      <c r="C312" s="47" t="n">
        <v>0.988454741696398</v>
      </c>
      <c r="D312" s="47" t="n">
        <v>0.965140757263224</v>
      </c>
      <c r="E312" s="47" t="n">
        <v>1.1020937797116</v>
      </c>
      <c r="F312" s="47" t="n">
        <v>0.94451190401214</v>
      </c>
      <c r="G312" s="27" t="n">
        <f aca="false">'Visitor Economics'!$B$5*B312</f>
        <v>30216.1958977123</v>
      </c>
      <c r="H312" s="29" t="n">
        <f aca="false">MAX(0,'Visitor Economics'!$B$18*B312*C312*D312)</f>
        <v>647777.75551633</v>
      </c>
      <c r="I312" s="29" t="n">
        <f aca="false">H312*Controls!$B$52</f>
        <v>919844.412833188</v>
      </c>
      <c r="J312" s="29" t="n">
        <f aca="false">'City Fiscal'!$B$5+(H312*Controls!$B$56*Controls!$B$55)+('City Fiscal'!$B$9*B312*F312)</f>
        <v>143199.764800112</v>
      </c>
      <c r="K312" s="29" t="n">
        <f aca="false">J312-('City Fiscal'!$B$13*E312)</f>
        <v>21969.4490318357</v>
      </c>
      <c r="L312" s="30" t="n">
        <f aca="false">'Mobility &amp; Emissions'!$B$21*B312*F312</f>
        <v>82.721905151042</v>
      </c>
    </row>
    <row r="313" customFormat="false" ht="15" hidden="false" customHeight="true" outlineLevel="0" collapsed="false">
      <c r="A313" s="14" t="n">
        <v>309</v>
      </c>
      <c r="B313" s="47" t="n">
        <v>0.896003448224611</v>
      </c>
      <c r="C313" s="47" t="n">
        <v>0.855623026261114</v>
      </c>
      <c r="D313" s="47" t="n">
        <v>0.980168678868598</v>
      </c>
      <c r="E313" s="47" t="n">
        <v>0.899423548145371</v>
      </c>
      <c r="F313" s="47" t="n">
        <v>1.11235029880597</v>
      </c>
      <c r="G313" s="27" t="n">
        <f aca="false">'Visitor Economics'!$B$5*B313</f>
        <v>28851.3110328325</v>
      </c>
      <c r="H313" s="29" t="n">
        <f aca="false">MAX(0,'Visitor Economics'!$B$18*B313*C313*D313)</f>
        <v>543735.432659595</v>
      </c>
      <c r="I313" s="29" t="n">
        <f aca="false">H313*Controls!$B$52</f>
        <v>772104.314376624</v>
      </c>
      <c r="J313" s="29" t="n">
        <f aca="false">'City Fiscal'!$B$5+(H313*Controls!$B$56*Controls!$B$55)+('City Fiscal'!$B$9*B313*F313)</f>
        <v>154228.948505272</v>
      </c>
      <c r="K313" s="29" t="n">
        <f aca="false">J313-('City Fiscal'!$B$13*E313)</f>
        <v>55292.3582092815</v>
      </c>
      <c r="L313" s="30" t="n">
        <f aca="false">'Mobility &amp; Emissions'!$B$21*B313*F313</f>
        <v>93.0208777534416</v>
      </c>
    </row>
    <row r="314" customFormat="false" ht="15" hidden="false" customHeight="true" outlineLevel="0" collapsed="false">
      <c r="A314" s="14" t="n">
        <v>310</v>
      </c>
      <c r="B314" s="47" t="n">
        <v>0.831357570035974</v>
      </c>
      <c r="C314" s="47" t="n">
        <v>1.04119644678062</v>
      </c>
      <c r="D314" s="47" t="n">
        <v>0.935715445605117</v>
      </c>
      <c r="E314" s="47" t="n">
        <v>1.09569105664285</v>
      </c>
      <c r="F314" s="47" t="n">
        <v>1.02823177754439</v>
      </c>
      <c r="G314" s="27" t="n">
        <f aca="false">'Visitor Economics'!$B$5*B314</f>
        <v>26769.7137551584</v>
      </c>
      <c r="H314" s="29" t="n">
        <f aca="false">MAX(0,'Visitor Economics'!$B$18*B314*C314*D314)</f>
        <v>586082.833392014</v>
      </c>
      <c r="I314" s="29" t="n">
        <f aca="false">H314*Controls!$B$52</f>
        <v>832237.623416659</v>
      </c>
      <c r="J314" s="29" t="n">
        <f aca="false">'City Fiscal'!$B$5+(H314*Controls!$B$56*Controls!$B$55)+('City Fiscal'!$B$9*B314*F314)</f>
        <v>139459.834754747</v>
      </c>
      <c r="K314" s="29" t="n">
        <f aca="false">J314-('City Fiscal'!$B$13*E314)</f>
        <v>18933.8185240334</v>
      </c>
      <c r="L314" s="30" t="n">
        <f aca="false">'Mobility &amp; Emissions'!$B$21*B314*F314</f>
        <v>79.7825758350427</v>
      </c>
    </row>
    <row r="315" customFormat="false" ht="15" hidden="false" customHeight="true" outlineLevel="0" collapsed="false">
      <c r="A315" s="14" t="n">
        <v>311</v>
      </c>
      <c r="B315" s="47" t="n">
        <v>0.914387499418659</v>
      </c>
      <c r="C315" s="47" t="n">
        <v>0.940635815577299</v>
      </c>
      <c r="D315" s="47" t="n">
        <v>1.13972194234572</v>
      </c>
      <c r="E315" s="47" t="n">
        <v>1.15301417629365</v>
      </c>
      <c r="F315" s="47" t="n">
        <v>0.990472417221318</v>
      </c>
      <c r="G315" s="27" t="n">
        <f aca="false">'Visitor Economics'!$B$5*B315</f>
        <v>29443.2774812808</v>
      </c>
      <c r="H315" s="29" t="n">
        <f aca="false">MAX(0,'Visitor Economics'!$B$18*B315*C315*D315)</f>
        <v>709325.168995025</v>
      </c>
      <c r="I315" s="29" t="n">
        <f aca="false">H315*Controls!$B$52</f>
        <v>1007241.73997294</v>
      </c>
      <c r="J315" s="29" t="n">
        <f aca="false">'City Fiscal'!$B$5+(H315*Controls!$B$56*Controls!$B$55)+('City Fiscal'!$B$9*B315*F315)</f>
        <v>145651.248799974</v>
      </c>
      <c r="K315" s="29" t="n">
        <f aca="false">J315-('City Fiscal'!$B$13*E315)</f>
        <v>18819.6894076723</v>
      </c>
      <c r="L315" s="30" t="n">
        <f aca="false">'Mobility &amp; Emissions'!$B$21*B315*F315</f>
        <v>84.5282431002997</v>
      </c>
    </row>
    <row r="316" customFormat="false" ht="15" hidden="false" customHeight="true" outlineLevel="0" collapsed="false">
      <c r="A316" s="14" t="n">
        <v>312</v>
      </c>
      <c r="B316" s="47" t="n">
        <v>0.919056822917827</v>
      </c>
      <c r="C316" s="47" t="n">
        <v>0.990842032298846</v>
      </c>
      <c r="D316" s="47" t="n">
        <v>0.973603977231874</v>
      </c>
      <c r="E316" s="47" t="n">
        <v>0.909503631211253</v>
      </c>
      <c r="F316" s="47" t="n">
        <v>1.0023433035721</v>
      </c>
      <c r="G316" s="27" t="n">
        <f aca="false">'Visitor Economics'!$B$5*B316</f>
        <v>29593.629697954</v>
      </c>
      <c r="H316" s="29" t="n">
        <f aca="false">MAX(0,'Visitor Economics'!$B$18*B316*C316*D316)</f>
        <v>641540.0798467</v>
      </c>
      <c r="I316" s="29" t="n">
        <f aca="false">H316*Controls!$B$52</f>
        <v>910986.913382313</v>
      </c>
      <c r="J316" s="29" t="n">
        <f aca="false">'City Fiscal'!$B$5+(H316*Controls!$B$56*Controls!$B$55)+('City Fiscal'!$B$9*B316*F316)</f>
        <v>146859.608749182</v>
      </c>
      <c r="K316" s="29" t="n">
        <f aca="false">J316-('City Fiscal'!$B$13*E316)</f>
        <v>46814.2093159439</v>
      </c>
      <c r="L316" s="30" t="n">
        <f aca="false">'Mobility &amp; Emissions'!$B$21*B316*F316</f>
        <v>85.9781375479621</v>
      </c>
    </row>
    <row r="317" customFormat="false" ht="15" hidden="false" customHeight="true" outlineLevel="0" collapsed="false">
      <c r="A317" s="14" t="n">
        <v>313</v>
      </c>
      <c r="B317" s="47" t="n">
        <v>0.915755662865311</v>
      </c>
      <c r="C317" s="47" t="n">
        <v>1.07410882437767</v>
      </c>
      <c r="D317" s="47" t="n">
        <v>0.857107068417882</v>
      </c>
      <c r="E317" s="47" t="n">
        <v>0.981384943535635</v>
      </c>
      <c r="F317" s="47" t="n">
        <v>1.09288170170602</v>
      </c>
      <c r="G317" s="27" t="n">
        <f aca="false">'Visitor Economics'!$B$5*B317</f>
        <v>29487.332344263</v>
      </c>
      <c r="H317" s="29" t="n">
        <f aca="false">MAX(0,'Visitor Economics'!$B$18*B317*C317*D317)</f>
        <v>610039.060747889</v>
      </c>
      <c r="I317" s="29" t="n">
        <f aca="false">H317*Controls!$B$52</f>
        <v>866255.466262002</v>
      </c>
      <c r="J317" s="29" t="n">
        <f aca="false">'City Fiscal'!$B$5+(H317*Controls!$B$56*Controls!$B$55)+('City Fiscal'!$B$9*B317*F317)</f>
        <v>155097.98721531</v>
      </c>
      <c r="K317" s="29" t="n">
        <f aca="false">J317-('City Fiscal'!$B$13*E317)</f>
        <v>47145.6434263898</v>
      </c>
      <c r="L317" s="30" t="n">
        <f aca="false">'Mobility &amp; Emissions'!$B$21*B317*F317</f>
        <v>93.4075420094637</v>
      </c>
    </row>
    <row r="318" customFormat="false" ht="15" hidden="false" customHeight="true" outlineLevel="0" collapsed="false">
      <c r="A318" s="14" t="n">
        <v>314</v>
      </c>
      <c r="B318" s="47" t="n">
        <v>0.936645336063301</v>
      </c>
      <c r="C318" s="47" t="n">
        <v>1.08375086207922</v>
      </c>
      <c r="D318" s="47" t="n">
        <v>1.06366361063925</v>
      </c>
      <c r="E318" s="47" t="n">
        <v>0.826220932405998</v>
      </c>
      <c r="F318" s="47" t="n">
        <v>0.874647515087732</v>
      </c>
      <c r="G318" s="27" t="n">
        <f aca="false">'Visitor Economics'!$B$5*B318</f>
        <v>30159.9798212383</v>
      </c>
      <c r="H318" s="29" t="n">
        <f aca="false">MAX(0,'Visitor Economics'!$B$18*B318*C318*D318)</f>
        <v>781274.414608014</v>
      </c>
      <c r="I318" s="29" t="n">
        <f aca="false">H318*Controls!$B$52</f>
        <v>1109409.66874338</v>
      </c>
      <c r="J318" s="29" t="n">
        <f aca="false">'City Fiscal'!$B$5+(H318*Controls!$B$56*Controls!$B$55)+('City Fiscal'!$B$9*B318*F318)</f>
        <v>136949.646899323</v>
      </c>
      <c r="K318" s="29" t="n">
        <f aca="false">J318-('City Fiscal'!$B$13*E318)</f>
        <v>46065.3443346636</v>
      </c>
      <c r="L318" s="30" t="n">
        <f aca="false">'Mobility &amp; Emissions'!$B$21*B318*F318</f>
        <v>76.4605500495438</v>
      </c>
    </row>
    <row r="319" customFormat="false" ht="15" hidden="false" customHeight="true" outlineLevel="0" collapsed="false">
      <c r="A319" s="14" t="n">
        <v>315</v>
      </c>
      <c r="B319" s="47" t="n">
        <v>0.817341665736815</v>
      </c>
      <c r="C319" s="47" t="n">
        <v>0.875235857918566</v>
      </c>
      <c r="D319" s="47" t="n">
        <v>0.977830482989857</v>
      </c>
      <c r="E319" s="47" t="n">
        <v>1.09814892163702</v>
      </c>
      <c r="F319" s="47" t="n">
        <v>0.906723011203567</v>
      </c>
      <c r="G319" s="27" t="n">
        <f aca="false">'Visitor Economics'!$B$5*B319</f>
        <v>26318.4016367254</v>
      </c>
      <c r="H319" s="29" t="n">
        <f aca="false">MAX(0,'Visitor Economics'!$B$18*B319*C319*D319)</f>
        <v>506159.021840756</v>
      </c>
      <c r="I319" s="29" t="n">
        <f aca="false">H319*Controls!$B$52</f>
        <v>718745.811013873</v>
      </c>
      <c r="J319" s="29" t="n">
        <f aca="false">'City Fiscal'!$B$5+(H319*Controls!$B$56*Controls!$B$55)+('City Fiscal'!$B$9*B319*F319)</f>
        <v>126880.314845125</v>
      </c>
      <c r="K319" s="29" t="n">
        <f aca="false">J319-('City Fiscal'!$B$13*E319)</f>
        <v>6083.9334650524</v>
      </c>
      <c r="L319" s="30" t="n">
        <f aca="false">'Mobility &amp; Emissions'!$B$21*B319*F319</f>
        <v>69.1683558575649</v>
      </c>
    </row>
    <row r="320" customFormat="false" ht="15" hidden="false" customHeight="true" outlineLevel="0" collapsed="false">
      <c r="A320" s="14" t="n">
        <v>316</v>
      </c>
      <c r="B320" s="47" t="n">
        <v>0.967578630311675</v>
      </c>
      <c r="C320" s="47" t="n">
        <v>1.07694189971678</v>
      </c>
      <c r="D320" s="47" t="n">
        <v>0.937366769046073</v>
      </c>
      <c r="E320" s="47" t="n">
        <v>1.04276522975138</v>
      </c>
      <c r="F320" s="47" t="n">
        <v>1.05336925954956</v>
      </c>
      <c r="G320" s="27" t="n">
        <f aca="false">'Visitor Economics'!$B$5*B320</f>
        <v>31156.0318960359</v>
      </c>
      <c r="H320" s="29" t="n">
        <f aca="false">MAX(0,'Visitor Economics'!$B$18*B320*C320*D320)</f>
        <v>706777.580312075</v>
      </c>
      <c r="I320" s="29" t="n">
        <f aca="false">H320*Controls!$B$52</f>
        <v>1003624.16404315</v>
      </c>
      <c r="J320" s="29" t="n">
        <f aca="false">'City Fiscal'!$B$5+(H320*Controls!$B$56*Controls!$B$55)+('City Fiscal'!$B$9*B320*F320)</f>
        <v>157676.861802506</v>
      </c>
      <c r="K320" s="29" t="n">
        <f aca="false">J320-('City Fiscal'!$B$13*E320)</f>
        <v>42972.6865298538</v>
      </c>
      <c r="L320" s="30" t="n">
        <f aca="false">'Mobility &amp; Emissions'!$B$21*B320*F320</f>
        <v>95.1253099122333</v>
      </c>
    </row>
    <row r="321" customFormat="false" ht="15" hidden="false" customHeight="true" outlineLevel="0" collapsed="false">
      <c r="A321" s="14" t="n">
        <v>317</v>
      </c>
      <c r="B321" s="47" t="n">
        <v>0.926085144945009</v>
      </c>
      <c r="C321" s="47" t="n">
        <v>0.917626840571638</v>
      </c>
      <c r="D321" s="47" t="n">
        <v>0.943489755030705</v>
      </c>
      <c r="E321" s="47" t="n">
        <v>1.10614677619184</v>
      </c>
      <c r="F321" s="47" t="n">
        <v>0.988536998668226</v>
      </c>
      <c r="G321" s="27" t="n">
        <f aca="false">'Visitor Economics'!$B$5*B321</f>
        <v>29819.9416672293</v>
      </c>
      <c r="H321" s="29" t="n">
        <f aca="false">MAX(0,'Visitor Economics'!$B$18*B321*C321*D321)</f>
        <v>580161.472004106</v>
      </c>
      <c r="I321" s="29" t="n">
        <f aca="false">H321*Controls!$B$52</f>
        <v>823829.29024583</v>
      </c>
      <c r="J321" s="29" t="n">
        <f aca="false">'City Fiscal'!$B$5+(H321*Controls!$B$56*Controls!$B$55)+('City Fiscal'!$B$9*B321*F321)</f>
        <v>145852.989715269</v>
      </c>
      <c r="K321" s="29" t="n">
        <f aca="false">J321-('City Fiscal'!$B$13*E321)</f>
        <v>24176.8443341666</v>
      </c>
      <c r="L321" s="30" t="n">
        <f aca="false">'Mobility &amp; Emissions'!$B$21*B321*F321</f>
        <v>85.4423181714805</v>
      </c>
    </row>
    <row r="322" customFormat="false" ht="15" hidden="false" customHeight="true" outlineLevel="0" collapsed="false">
      <c r="A322" s="14" t="n">
        <v>318</v>
      </c>
      <c r="B322" s="47" t="n">
        <v>0.961724790862666</v>
      </c>
      <c r="C322" s="47" t="n">
        <v>0.999323729606542</v>
      </c>
      <c r="D322" s="47" t="n">
        <v>1.1365705064809</v>
      </c>
      <c r="E322" s="47" t="n">
        <v>0.890106347786773</v>
      </c>
      <c r="F322" s="47" t="n">
        <v>0.977544110016888</v>
      </c>
      <c r="G322" s="27" t="n">
        <f aca="false">'Visitor Economics'!$B$5*B322</f>
        <v>30967.5382657778</v>
      </c>
      <c r="H322" s="29" t="n">
        <f aca="false">MAX(0,'Visitor Economics'!$B$18*B322*C322*D322)</f>
        <v>790402.059194909</v>
      </c>
      <c r="I322" s="29" t="n">
        <f aca="false">H322*Controls!$B$52</f>
        <v>1122370.92405677</v>
      </c>
      <c r="J322" s="29" t="n">
        <f aca="false">'City Fiscal'!$B$5+(H322*Controls!$B$56*Controls!$B$55)+('City Fiscal'!$B$9*B322*F322)</f>
        <v>149830.648792455</v>
      </c>
      <c r="K322" s="29" t="n">
        <f aca="false">J322-('City Fiscal'!$B$13*E322)</f>
        <v>51918.9505359104</v>
      </c>
      <c r="L322" s="30" t="n">
        <f aca="false">'Mobility &amp; Emissions'!$B$21*B322*F322</f>
        <v>87.7437822350077</v>
      </c>
    </row>
    <row r="323" customFormat="false" ht="15" hidden="false" customHeight="true" outlineLevel="0" collapsed="false">
      <c r="A323" s="14" t="n">
        <v>319</v>
      </c>
      <c r="B323" s="47" t="n">
        <v>0.848463128762861</v>
      </c>
      <c r="C323" s="47" t="n">
        <v>0.985381377428053</v>
      </c>
      <c r="D323" s="47" t="n">
        <v>0.941581248912119</v>
      </c>
      <c r="E323" s="47" t="n">
        <v>0.845649561399759</v>
      </c>
      <c r="F323" s="47" t="n">
        <v>0.987067501618728</v>
      </c>
      <c r="G323" s="27" t="n">
        <f aca="false">'Visitor Economics'!$B$5*B323</f>
        <v>27320.5127461641</v>
      </c>
      <c r="H323" s="29" t="n">
        <f aca="false">MAX(0,'Visitor Economics'!$B$18*B323*C323*D323)</f>
        <v>569625.988498329</v>
      </c>
      <c r="I323" s="29" t="n">
        <f aca="false">H323*Controls!$B$52</f>
        <v>808868.903667626</v>
      </c>
      <c r="J323" s="29" t="n">
        <f aca="false">'City Fiscal'!$B$5+(H323*Controls!$B$56*Controls!$B$55)+('City Fiscal'!$B$9*B323*F323)</f>
        <v>137514.359322035</v>
      </c>
      <c r="K323" s="29" t="n">
        <f aca="false">J323-('City Fiscal'!$B$13*E323)</f>
        <v>44492.9075680612</v>
      </c>
      <c r="L323" s="30" t="n">
        <f aca="false">'Mobility &amp; Emissions'!$B$21*B323*F323</f>
        <v>78.1644009665777</v>
      </c>
    </row>
    <row r="324" customFormat="false" ht="15" hidden="false" customHeight="true" outlineLevel="0" collapsed="false">
      <c r="A324" s="14" t="n">
        <v>320</v>
      </c>
      <c r="B324" s="47" t="n">
        <v>0.893810368596187</v>
      </c>
      <c r="C324" s="47" t="n">
        <v>0.983905460555773</v>
      </c>
      <c r="D324" s="47" t="n">
        <v>1.00460491039958</v>
      </c>
      <c r="E324" s="47" t="n">
        <v>1.134311841574</v>
      </c>
      <c r="F324" s="47" t="n">
        <v>1.03313469291531</v>
      </c>
      <c r="G324" s="27" t="n">
        <f aca="false">'Visitor Economics'!$B$5*B324</f>
        <v>28780.6938687972</v>
      </c>
      <c r="H324" s="29" t="n">
        <f aca="false">MAX(0,'Visitor Economics'!$B$18*B324*C324*D324)</f>
        <v>639276.47861312</v>
      </c>
      <c r="I324" s="29" t="n">
        <f aca="false">H324*Controls!$B$52</f>
        <v>907772.59963063</v>
      </c>
      <c r="J324" s="29" t="n">
        <f aca="false">'City Fiscal'!$B$5+(H324*Controls!$B$56*Controls!$B$55)+('City Fiscal'!$B$9*B324*F324)</f>
        <v>147079.971960847</v>
      </c>
      <c r="K324" s="29" t="n">
        <f aca="false">J324-('City Fiscal'!$B$13*E324)</f>
        <v>22305.6693877073</v>
      </c>
      <c r="L324" s="30" t="n">
        <f aca="false">'Mobility &amp; Emissions'!$B$21*B324*F324</f>
        <v>86.1849651339021</v>
      </c>
    </row>
    <row r="325" customFormat="false" ht="15" hidden="false" customHeight="true" outlineLevel="0" collapsed="false">
      <c r="A325" s="14" t="n">
        <v>321</v>
      </c>
      <c r="B325" s="47" t="n">
        <v>0.903848294295884</v>
      </c>
      <c r="C325" s="47" t="n">
        <v>0.952984961555809</v>
      </c>
      <c r="D325" s="47" t="n">
        <v>0.983752545996363</v>
      </c>
      <c r="E325" s="47" t="n">
        <v>1.0839465447514</v>
      </c>
      <c r="F325" s="47" t="n">
        <v>1.01575209498841</v>
      </c>
      <c r="G325" s="27" t="n">
        <f aca="false">'Visitor Economics'!$B$5*B325</f>
        <v>29103.9150763275</v>
      </c>
      <c r="H325" s="29" t="n">
        <f aca="false">MAX(0,'Visitor Economics'!$B$18*B325*C325*D325)</f>
        <v>613143.500614194</v>
      </c>
      <c r="I325" s="29" t="n">
        <f aca="false">H325*Controls!$B$52</f>
        <v>870663.770872155</v>
      </c>
      <c r="J325" s="29" t="n">
        <f aca="false">'City Fiscal'!$B$5+(H325*Controls!$B$56*Controls!$B$55)+('City Fiscal'!$B$9*B325*F325)</f>
        <v>146344.202063812</v>
      </c>
      <c r="K325" s="29" t="n">
        <f aca="false">J325-('City Fiscal'!$B$13*E325)</f>
        <v>27110.0821411578</v>
      </c>
      <c r="L325" s="30" t="n">
        <f aca="false">'Mobility &amp; Emissions'!$B$21*B325*F325</f>
        <v>85.686508318252</v>
      </c>
    </row>
    <row r="326" customFormat="false" ht="15" hidden="false" customHeight="true" outlineLevel="0" collapsed="false">
      <c r="A326" s="14" t="n">
        <v>322</v>
      </c>
      <c r="B326" s="47" t="n">
        <v>0.979750776405004</v>
      </c>
      <c r="C326" s="47" t="n">
        <v>0.981916645222164</v>
      </c>
      <c r="D326" s="47" t="n">
        <v>0.935049991938084</v>
      </c>
      <c r="E326" s="47" t="n">
        <v>0.882519596927683</v>
      </c>
      <c r="F326" s="47" t="n">
        <v>1.09782241860722</v>
      </c>
      <c r="G326" s="27" t="n">
        <f aca="false">'Visitor Economics'!$B$5*B326</f>
        <v>31547.9750002411</v>
      </c>
      <c r="H326" s="29" t="n">
        <f aca="false">MAX(0,'Visitor Economics'!$B$18*B326*C326*D326)</f>
        <v>650908.194169656</v>
      </c>
      <c r="I326" s="29" t="n">
        <f aca="false">H326*Controls!$B$52</f>
        <v>924289.635720912</v>
      </c>
      <c r="J326" s="29" t="n">
        <f aca="false">'City Fiscal'!$B$5+(H326*Controls!$B$56*Controls!$B$55)+('City Fiscal'!$B$9*B326*F326)</f>
        <v>163293.867050216</v>
      </c>
      <c r="K326" s="29" t="n">
        <f aca="false">J326-('City Fiscal'!$B$13*E326)</f>
        <v>66216.7113881704</v>
      </c>
      <c r="L326" s="30" t="n">
        <f aca="false">'Mobility &amp; Emissions'!$B$21*B326*F326</f>
        <v>100.386864117757</v>
      </c>
    </row>
    <row r="327" customFormat="false" ht="15" hidden="false" customHeight="true" outlineLevel="0" collapsed="false">
      <c r="A327" s="14" t="n">
        <v>323</v>
      </c>
      <c r="B327" s="47" t="n">
        <v>0.953097085265289</v>
      </c>
      <c r="C327" s="47" t="n">
        <v>0.952781775857984</v>
      </c>
      <c r="D327" s="47" t="n">
        <v>0.902656838374385</v>
      </c>
      <c r="E327" s="47" t="n">
        <v>1.0785320729699</v>
      </c>
      <c r="F327" s="47" t="n">
        <v>1.0049569029564</v>
      </c>
      <c r="G327" s="27" t="n">
        <f aca="false">'Visitor Economics'!$B$5*B327</f>
        <v>30689.7261455423</v>
      </c>
      <c r="H327" s="29" t="n">
        <f aca="false">MAX(0,'Visitor Economics'!$B$18*B327*C327*D327)</f>
        <v>593127.321063269</v>
      </c>
      <c r="I327" s="29" t="n">
        <f aca="false">H327*Controls!$B$52</f>
        <v>842240.795909843</v>
      </c>
      <c r="J327" s="29" t="n">
        <f aca="false">'City Fiscal'!$B$5+(H327*Controls!$B$56*Controls!$B$55)+('City Fiscal'!$B$9*B327*F327)</f>
        <v>150428.81552597</v>
      </c>
      <c r="K327" s="29" t="n">
        <f aca="false">J327-('City Fiscal'!$B$13*E327)</f>
        <v>31790.2874992813</v>
      </c>
      <c r="L327" s="30" t="n">
        <f aca="false">'Mobility &amp; Emissions'!$B$21*B327*F327</f>
        <v>89.3951084272226</v>
      </c>
    </row>
    <row r="328" customFormat="false" ht="15" hidden="false" customHeight="true" outlineLevel="0" collapsed="false">
      <c r="A328" s="14" t="n">
        <v>324</v>
      </c>
      <c r="B328" s="47" t="n">
        <v>0.848708078127685</v>
      </c>
      <c r="C328" s="47" t="n">
        <v>0.949487451129443</v>
      </c>
      <c r="D328" s="47" t="n">
        <v>0.913165686270901</v>
      </c>
      <c r="E328" s="47" t="n">
        <v>0.863546526841988</v>
      </c>
      <c r="F328" s="47" t="n">
        <v>0.972321298227251</v>
      </c>
      <c r="G328" s="27" t="n">
        <f aca="false">'Visitor Economics'!$B$5*B328</f>
        <v>27328.4001157115</v>
      </c>
      <c r="H328" s="29" t="n">
        <f aca="false">MAX(0,'Visitor Economics'!$B$18*B328*C328*D328)</f>
        <v>532465.92260056</v>
      </c>
      <c r="I328" s="29" t="n">
        <f aca="false">H328*Controls!$B$52</f>
        <v>756101.610092796</v>
      </c>
      <c r="J328" s="29" t="n">
        <f aca="false">'City Fiscal'!$B$5+(H328*Controls!$B$56*Controls!$B$55)+('City Fiscal'!$B$9*B328*F328)</f>
        <v>135971.85634985</v>
      </c>
      <c r="K328" s="29" t="n">
        <f aca="false">J328-('City Fiscal'!$B$13*E328)</f>
        <v>40981.738397231</v>
      </c>
      <c r="L328" s="30" t="n">
        <f aca="false">'Mobility &amp; Emissions'!$B$21*B328*F328</f>
        <v>77.0188999108303</v>
      </c>
    </row>
    <row r="329" customFormat="false" ht="15" hidden="false" customHeight="true" outlineLevel="0" collapsed="false">
      <c r="A329" s="14" t="n">
        <v>325</v>
      </c>
      <c r="B329" s="47" t="n">
        <v>0.925068445709554</v>
      </c>
      <c r="C329" s="47" t="n">
        <v>0.935840407457847</v>
      </c>
      <c r="D329" s="47" t="n">
        <v>0.855068635261339</v>
      </c>
      <c r="E329" s="47" t="n">
        <v>1.12666610360489</v>
      </c>
      <c r="F329" s="47" t="n">
        <v>1.04235474929195</v>
      </c>
      <c r="G329" s="27" t="n">
        <f aca="false">'Visitor Economics'!$B$5*B329</f>
        <v>29787.2039518476</v>
      </c>
      <c r="H329" s="29" t="n">
        <f aca="false">MAX(0,'Visitor Economics'!$B$18*B329*C329*D329)</f>
        <v>535637.90948877</v>
      </c>
      <c r="I329" s="29" t="n">
        <f aca="false">H329*Controls!$B$52</f>
        <v>760605.831474053</v>
      </c>
      <c r="J329" s="29" t="n">
        <f aca="false">'City Fiscal'!$B$5+(H329*Controls!$B$56*Controls!$B$55)+('City Fiscal'!$B$9*B329*F329)</f>
        <v>150738.029018276</v>
      </c>
      <c r="K329" s="29" t="n">
        <f aca="false">J329-('City Fiscal'!$B$13*E329)</f>
        <v>26804.7576217384</v>
      </c>
      <c r="L329" s="30" t="n">
        <f aca="false">'Mobility &amp; Emissions'!$B$21*B329*F329</f>
        <v>89.9950439210144</v>
      </c>
    </row>
    <row r="330" customFormat="false" ht="15" hidden="false" customHeight="true" outlineLevel="0" collapsed="false">
      <c r="A330" s="14" t="n">
        <v>326</v>
      </c>
      <c r="B330" s="47" t="n">
        <v>0.883772828813712</v>
      </c>
      <c r="C330" s="47" t="n">
        <v>0.991473029949319</v>
      </c>
      <c r="D330" s="47" t="n">
        <v>1.20092098207992</v>
      </c>
      <c r="E330" s="47" t="n">
        <v>1.01573786050665</v>
      </c>
      <c r="F330" s="47" t="n">
        <v>1.00433771936428</v>
      </c>
      <c r="G330" s="27" t="n">
        <f aca="false">'Visitor Economics'!$B$5*B330</f>
        <v>28457.4850878015</v>
      </c>
      <c r="H330" s="29" t="n">
        <f aca="false">MAX(0,'Visitor Economics'!$B$18*B330*C330*D330)</f>
        <v>761431.172492578</v>
      </c>
      <c r="I330" s="29" t="n">
        <f aca="false">H330*Controls!$B$52</f>
        <v>1081232.26493946</v>
      </c>
      <c r="J330" s="29" t="n">
        <f aca="false">'City Fiscal'!$B$5+(H330*Controls!$B$56*Controls!$B$55)+('City Fiscal'!$B$9*B330*F330)</f>
        <v>144072.497929657</v>
      </c>
      <c r="K330" s="29" t="n">
        <f aca="false">J330-('City Fiscal'!$B$13*E330)</f>
        <v>32341.3332739253</v>
      </c>
      <c r="L330" s="30" t="n">
        <f aca="false">'Mobility &amp; Emissions'!$B$21*B330*F330</f>
        <v>82.8418130600763</v>
      </c>
    </row>
    <row r="331" customFormat="false" ht="15" hidden="false" customHeight="true" outlineLevel="0" collapsed="false">
      <c r="A331" s="14" t="n">
        <v>327</v>
      </c>
      <c r="B331" s="47" t="n">
        <v>0.936357905334694</v>
      </c>
      <c r="C331" s="47" t="n">
        <v>1.00912168832454</v>
      </c>
      <c r="D331" s="47" t="n">
        <v>1.15214168405291</v>
      </c>
      <c r="E331" s="47" t="n">
        <v>1.00784044516063</v>
      </c>
      <c r="F331" s="47" t="n">
        <v>1.02423235710247</v>
      </c>
      <c r="G331" s="27" t="n">
        <f aca="false">'Visitor Economics'!$B$5*B331</f>
        <v>30150.7245517771</v>
      </c>
      <c r="H331" s="29" t="n">
        <f aca="false">MAX(0,'Visitor Economics'!$B$18*B331*C331*D331)</f>
        <v>787745.590378674</v>
      </c>
      <c r="I331" s="29" t="n">
        <f aca="false">H331*Controls!$B$52</f>
        <v>1118598.73833772</v>
      </c>
      <c r="J331" s="29" t="n">
        <f aca="false">'City Fiscal'!$B$5+(H331*Controls!$B$56*Controls!$B$55)+('City Fiscal'!$B$9*B331*F331)</f>
        <v>151820.030333525</v>
      </c>
      <c r="K331" s="29" t="n">
        <f aca="false">J331-('City Fiscal'!$B$13*E331)</f>
        <v>40957.5813658557</v>
      </c>
      <c r="L331" s="30" t="n">
        <f aca="false">'Mobility &amp; Emissions'!$B$21*B331*F331</f>
        <v>89.5095862389266</v>
      </c>
    </row>
    <row r="332" customFormat="false" ht="15" hidden="false" customHeight="true" outlineLevel="0" collapsed="false">
      <c r="A332" s="14" t="n">
        <v>328</v>
      </c>
      <c r="B332" s="47" t="n">
        <v>0.903983869918631</v>
      </c>
      <c r="C332" s="47" t="n">
        <v>0.959910685796332</v>
      </c>
      <c r="D332" s="47" t="n">
        <v>1.00269704813731</v>
      </c>
      <c r="E332" s="47" t="n">
        <v>0.891743292369392</v>
      </c>
      <c r="F332" s="47" t="n">
        <v>0.999323474376938</v>
      </c>
      <c r="G332" s="27" t="n">
        <f aca="false">'Visitor Economics'!$B$5*B332</f>
        <v>29108.2806113799</v>
      </c>
      <c r="H332" s="29" t="n">
        <f aca="false">MAX(0,'Visitor Economics'!$B$18*B332*C332*D332)</f>
        <v>629587.23431485</v>
      </c>
      <c r="I332" s="29" t="n">
        <f aca="false">H332*Controls!$B$52</f>
        <v>894013.872727087</v>
      </c>
      <c r="J332" s="29" t="n">
        <f aca="false">'City Fiscal'!$B$5+(H332*Controls!$B$56*Controls!$B$55)+('City Fiscal'!$B$9*B332*F332)</f>
        <v>144890.26237787</v>
      </c>
      <c r="K332" s="29" t="n">
        <f aca="false">J332-('City Fiscal'!$B$13*E332)</f>
        <v>46798.5002172365</v>
      </c>
      <c r="L332" s="30" t="n">
        <f aca="false">'Mobility &amp; Emissions'!$B$21*B332*F332</f>
        <v>84.3132726475683</v>
      </c>
    </row>
    <row r="333" customFormat="false" ht="15" hidden="false" customHeight="true" outlineLevel="0" collapsed="false">
      <c r="A333" s="14" t="n">
        <v>329</v>
      </c>
      <c r="B333" s="47" t="n">
        <v>0.964900090744176</v>
      </c>
      <c r="C333" s="47" t="n">
        <v>0.980071858863449</v>
      </c>
      <c r="D333" s="47" t="n">
        <v>0.801570813614697</v>
      </c>
      <c r="E333" s="47" t="n">
        <v>0.989570339387524</v>
      </c>
      <c r="F333" s="47" t="n">
        <v>1.07336776135333</v>
      </c>
      <c r="G333" s="27" t="n">
        <f aca="false">'Visitor Economics'!$B$5*B333</f>
        <v>31069.7829219625</v>
      </c>
      <c r="H333" s="29" t="n">
        <f aca="false">MAX(0,'Visitor Economics'!$B$18*B333*C333*D333)</f>
        <v>548500.252256683</v>
      </c>
      <c r="I333" s="29" t="n">
        <f aca="false">H333*Controls!$B$52</f>
        <v>778870.35820449</v>
      </c>
      <c r="J333" s="29" t="n">
        <f aca="false">'City Fiscal'!$B$5+(H333*Controls!$B$56*Controls!$B$55)+('City Fiscal'!$B$9*B333*F333)</f>
        <v>158398.549512991</v>
      </c>
      <c r="K333" s="29" t="n">
        <f aca="false">J333-('City Fiscal'!$B$13*E333)</f>
        <v>49545.812180363</v>
      </c>
      <c r="L333" s="30" t="n">
        <f aca="false">'Mobility &amp; Emissions'!$B$21*B333*F333</f>
        <v>96.6629557329633</v>
      </c>
    </row>
    <row r="334" customFormat="false" ht="15" hidden="false" customHeight="true" outlineLevel="0" collapsed="false">
      <c r="A334" s="14" t="n">
        <v>330</v>
      </c>
      <c r="B334" s="47" t="n">
        <v>0.884739677295665</v>
      </c>
      <c r="C334" s="47" t="n">
        <v>0.998720452103278</v>
      </c>
      <c r="D334" s="47" t="n">
        <v>0.967085274674412</v>
      </c>
      <c r="E334" s="47" t="n">
        <v>0.967345512317138</v>
      </c>
      <c r="F334" s="47" t="n">
        <v>0.888242646351946</v>
      </c>
      <c r="G334" s="27" t="n">
        <f aca="false">'Visitor Economics'!$B$5*B334</f>
        <v>28488.6176089204</v>
      </c>
      <c r="H334" s="29" t="n">
        <f aca="false">MAX(0,'Visitor Economics'!$B$18*B334*C334*D334)</f>
        <v>618327.963880088</v>
      </c>
      <c r="I334" s="29" t="n">
        <f aca="false">H334*Controls!$B$52</f>
        <v>878025.708709725</v>
      </c>
      <c r="J334" s="29" t="n">
        <f aca="false">'City Fiscal'!$B$5+(H334*Controls!$B$56*Controls!$B$55)+('City Fiscal'!$B$9*B334*F334)</f>
        <v>132354.466990419</v>
      </c>
      <c r="K334" s="29" t="n">
        <f aca="false">J334-('City Fiscal'!$B$13*E334)</f>
        <v>25946.4606355339</v>
      </c>
      <c r="L334" s="30" t="n">
        <f aca="false">'Mobility &amp; Emissions'!$B$21*B334*F334</f>
        <v>73.345977570339</v>
      </c>
    </row>
    <row r="335" customFormat="false" ht="15" hidden="false" customHeight="true" outlineLevel="0" collapsed="false">
      <c r="A335" s="14" t="n">
        <v>331</v>
      </c>
      <c r="B335" s="47" t="n">
        <v>0.8451950918398</v>
      </c>
      <c r="C335" s="47" t="n">
        <v>1.00560594421037</v>
      </c>
      <c r="D335" s="47" t="n">
        <v>1.00676914258261</v>
      </c>
      <c r="E335" s="47" t="n">
        <v>1.18910049261283</v>
      </c>
      <c r="F335" s="47" t="n">
        <v>1.10376689497773</v>
      </c>
      <c r="G335" s="27" t="n">
        <f aca="false">'Visitor Economics'!$B$5*B335</f>
        <v>27215.2819572416</v>
      </c>
      <c r="H335" s="29" t="n">
        <f aca="false">MAX(0,'Visitor Economics'!$B$18*B335*C335*D335)</f>
        <v>619169.22726597</v>
      </c>
      <c r="I335" s="29" t="n">
        <f aca="false">H335*Controls!$B$52</f>
        <v>879220.302717677</v>
      </c>
      <c r="J335" s="29" t="n">
        <f aca="false">'City Fiscal'!$B$5+(H335*Controls!$B$56*Controls!$B$55)+('City Fiscal'!$B$9*B335*F335)</f>
        <v>147954.250761527</v>
      </c>
      <c r="K335" s="29" t="n">
        <f aca="false">J335-('City Fiscal'!$B$13*E335)</f>
        <v>17153.1965741156</v>
      </c>
      <c r="L335" s="30" t="n">
        <f aca="false">'Mobility &amp; Emissions'!$B$21*B335*F335</f>
        <v>87.0689900685822</v>
      </c>
    </row>
    <row r="336" customFormat="false" ht="15" hidden="false" customHeight="true" outlineLevel="0" collapsed="false">
      <c r="A336" s="14" t="n">
        <v>332</v>
      </c>
      <c r="B336" s="47" t="n">
        <v>0.846723309270449</v>
      </c>
      <c r="C336" s="47" t="n">
        <v>1.04590546578863</v>
      </c>
      <c r="D336" s="47" t="n">
        <v>1.09385503530373</v>
      </c>
      <c r="E336" s="47" t="n">
        <v>1.04018758378018</v>
      </c>
      <c r="F336" s="47" t="n">
        <v>1.01625584124905</v>
      </c>
      <c r="G336" s="27" t="n">
        <f aca="false">'Visitor Economics'!$B$5*B336</f>
        <v>27264.4905585085</v>
      </c>
      <c r="H336" s="29" t="n">
        <f aca="false">MAX(0,'Visitor Economics'!$B$18*B336*C336*D336)</f>
        <v>700952.175543488</v>
      </c>
      <c r="I336" s="29" t="n">
        <f aca="false">H336*Controls!$B$52</f>
        <v>995352.089271753</v>
      </c>
      <c r="J336" s="29" t="n">
        <f aca="false">'City Fiscal'!$B$5+(H336*Controls!$B$56*Controls!$B$55)+('City Fiscal'!$B$9*B336*F336)</f>
        <v>140804.399689263</v>
      </c>
      <c r="K336" s="29" t="n">
        <f aca="false">J336-('City Fiscal'!$B$13*E336)</f>
        <v>26383.7654734428</v>
      </c>
      <c r="L336" s="30" t="n">
        <f aca="false">'Mobility &amp; Emissions'!$B$21*B336*F336</f>
        <v>80.3107620407319</v>
      </c>
    </row>
    <row r="337" customFormat="false" ht="15" hidden="false" customHeight="true" outlineLevel="0" collapsed="false">
      <c r="A337" s="14" t="n">
        <v>333</v>
      </c>
      <c r="B337" s="47" t="n">
        <v>0.953818431568903</v>
      </c>
      <c r="C337" s="47" t="n">
        <v>0.96484129245488</v>
      </c>
      <c r="D337" s="47" t="n">
        <v>1.03415572743295</v>
      </c>
      <c r="E337" s="47" t="n">
        <v>0.993852523709033</v>
      </c>
      <c r="F337" s="47" t="n">
        <v>1.07485014970075</v>
      </c>
      <c r="G337" s="27" t="n">
        <f aca="false">'Visitor Economics'!$B$5*B337</f>
        <v>30712.9534965187</v>
      </c>
      <c r="H337" s="29" t="n">
        <f aca="false">MAX(0,'Visitor Economics'!$B$18*B337*C337*D337)</f>
        <v>688655.79014319</v>
      </c>
      <c r="I337" s="29" t="n">
        <f aca="false">H337*Controls!$B$52</f>
        <v>977891.222003329</v>
      </c>
      <c r="J337" s="29" t="n">
        <f aca="false">'City Fiscal'!$B$5+(H337*Controls!$B$56*Controls!$B$55)+('City Fiscal'!$B$9*B337*F337)</f>
        <v>158195.180417983</v>
      </c>
      <c r="K337" s="29" t="n">
        <f aca="false">J337-('City Fiscal'!$B$13*E337)</f>
        <v>48871.4028099889</v>
      </c>
      <c r="L337" s="30" t="n">
        <f aca="false">'Mobility &amp; Emissions'!$B$21*B337*F337</f>
        <v>95.6847679901121</v>
      </c>
    </row>
    <row r="338" customFormat="false" ht="15" hidden="false" customHeight="true" outlineLevel="0" collapsed="false">
      <c r="A338" s="14" t="n">
        <v>334</v>
      </c>
      <c r="B338" s="47" t="n">
        <v>0.895568161705549</v>
      </c>
      <c r="C338" s="47" t="n">
        <v>0.995826619145111</v>
      </c>
      <c r="D338" s="47" t="n">
        <v>1.01789280493703</v>
      </c>
      <c r="E338" s="47" t="n">
        <v>1.08233590127878</v>
      </c>
      <c r="F338" s="47" t="n">
        <v>1.03084673735059</v>
      </c>
      <c r="G338" s="27" t="n">
        <f aca="false">'Visitor Economics'!$B$5*B338</f>
        <v>28837.2948069187</v>
      </c>
      <c r="H338" s="29" t="n">
        <f aca="false">MAX(0,'Visitor Economics'!$B$18*B338*C338*D338)</f>
        <v>656869.490574732</v>
      </c>
      <c r="I338" s="29" t="n">
        <f aca="false">H338*Controls!$B$52</f>
        <v>932754.67661612</v>
      </c>
      <c r="J338" s="29" t="n">
        <f aca="false">'City Fiscal'!$B$5+(H338*Controls!$B$56*Controls!$B$55)+('City Fiscal'!$B$9*B338*F338)</f>
        <v>147169.26478042</v>
      </c>
      <c r="K338" s="29" t="n">
        <f aca="false">J338-('City Fiscal'!$B$13*E338)</f>
        <v>28112.3156397541</v>
      </c>
      <c r="L338" s="30" t="n">
        <f aca="false">'Mobility &amp; Emissions'!$B$21*B338*F338</f>
        <v>86.1632204237162</v>
      </c>
    </row>
    <row r="339" customFormat="false" ht="15" hidden="false" customHeight="true" outlineLevel="0" collapsed="false">
      <c r="A339" s="14" t="n">
        <v>335</v>
      </c>
      <c r="B339" s="47" t="n">
        <v>0.974966679003209</v>
      </c>
      <c r="C339" s="47" t="n">
        <v>1.02503684925193</v>
      </c>
      <c r="D339" s="47" t="n">
        <v>0.823736712267842</v>
      </c>
      <c r="E339" s="47" t="n">
        <v>1.06642099793277</v>
      </c>
      <c r="F339" s="47" t="n">
        <v>0.976836508939658</v>
      </c>
      <c r="G339" s="27" t="n">
        <f aca="false">'Visitor Economics'!$B$5*B339</f>
        <v>31393.9270639033</v>
      </c>
      <c r="H339" s="29" t="n">
        <f aca="false">MAX(0,'Visitor Economics'!$B$18*B339*C339*D339)</f>
        <v>595679.073075513</v>
      </c>
      <c r="I339" s="29" t="n">
        <f aca="false">H339*Controls!$B$52</f>
        <v>845864.283767229</v>
      </c>
      <c r="J339" s="29" t="n">
        <f aca="false">'City Fiscal'!$B$5+(H339*Controls!$B$56*Controls!$B$55)+('City Fiscal'!$B$9*B339*F339)</f>
        <v>149868.555884842</v>
      </c>
      <c r="K339" s="29" t="n">
        <f aca="false">J339-('City Fiscal'!$B$13*E339)</f>
        <v>32562.2461122374</v>
      </c>
      <c r="L339" s="30" t="n">
        <f aca="false">'Mobility &amp; Emissions'!$B$21*B339*F339</f>
        <v>88.8875288323553</v>
      </c>
    </row>
    <row r="340" customFormat="false" ht="15" hidden="false" customHeight="true" outlineLevel="0" collapsed="false">
      <c r="A340" s="14" t="n">
        <v>336</v>
      </c>
      <c r="B340" s="47" t="n">
        <v>1.0075100040032</v>
      </c>
      <c r="C340" s="47" t="n">
        <v>0.997963479399567</v>
      </c>
      <c r="D340" s="47" t="n">
        <v>0.876735205587211</v>
      </c>
      <c r="E340" s="47" t="n">
        <v>1.04669296618169</v>
      </c>
      <c r="F340" s="47" t="n">
        <v>1.09171192231682</v>
      </c>
      <c r="G340" s="27" t="n">
        <f aca="false">'Visitor Economics'!$B$5*B340</f>
        <v>32441.822128903</v>
      </c>
      <c r="H340" s="29" t="n">
        <f aca="false">MAX(0,'Visitor Economics'!$B$18*B340*C340*D340)</f>
        <v>637862.589109103</v>
      </c>
      <c r="I340" s="29" t="n">
        <f aca="false">H340*Controls!$B$52</f>
        <v>905764.876534926</v>
      </c>
      <c r="J340" s="29" t="n">
        <f aca="false">'City Fiscal'!$B$5+(H340*Controls!$B$56*Controls!$B$55)+('City Fiscal'!$B$9*B340*F340)</f>
        <v>165788.501751785</v>
      </c>
      <c r="K340" s="29" t="n">
        <f aca="false">J340-('City Fiscal'!$B$13*E340)</f>
        <v>50652.2754717991</v>
      </c>
      <c r="L340" s="30" t="n">
        <f aca="false">'Mobility &amp; Emissions'!$B$21*B340*F340</f>
        <v>102.656533913435</v>
      </c>
    </row>
    <row r="341" customFormat="false" ht="15" hidden="false" customHeight="true" outlineLevel="0" collapsed="false">
      <c r="A341" s="14" t="n">
        <v>337</v>
      </c>
      <c r="B341" s="47" t="n">
        <v>0.89815582931028</v>
      </c>
      <c r="C341" s="47" t="n">
        <v>0.945247754470889</v>
      </c>
      <c r="D341" s="47" t="n">
        <v>0.928579608291313</v>
      </c>
      <c r="E341" s="47" t="n">
        <v>0.996941515761565</v>
      </c>
      <c r="F341" s="47" t="n">
        <v>1.02157687124198</v>
      </c>
      <c r="G341" s="27" t="n">
        <f aca="false">'Visitor Economics'!$B$5*B341</f>
        <v>28920.617703791</v>
      </c>
      <c r="H341" s="29" t="n">
        <f aca="false">MAX(0,'Visitor Economics'!$B$18*B341*C341*D341)</f>
        <v>570441.560306579</v>
      </c>
      <c r="I341" s="29" t="n">
        <f aca="false">H341*Controls!$B$52</f>
        <v>810027.015635342</v>
      </c>
      <c r="J341" s="29" t="n">
        <f aca="false">'City Fiscal'!$B$5+(H341*Controls!$B$56*Controls!$B$55)+('City Fiscal'!$B$9*B341*F341)</f>
        <v>146009.1000365</v>
      </c>
      <c r="K341" s="29" t="n">
        <f aca="false">J341-('City Fiscal'!$B$13*E341)</f>
        <v>36345.5333027281</v>
      </c>
      <c r="L341" s="30" t="n">
        <f aca="false">'Mobility &amp; Emissions'!$B$21*B341*F341</f>
        <v>85.635122078628</v>
      </c>
    </row>
    <row r="342" customFormat="false" ht="15" hidden="false" customHeight="true" outlineLevel="0" collapsed="false">
      <c r="A342" s="14" t="n">
        <v>338</v>
      </c>
      <c r="B342" s="47" t="n">
        <v>0.921470816505971</v>
      </c>
      <c r="C342" s="47" t="n">
        <v>0.978034806292791</v>
      </c>
      <c r="D342" s="47" t="n">
        <v>1.0763948445466</v>
      </c>
      <c r="E342" s="47" t="n">
        <v>1.07237328466697</v>
      </c>
      <c r="F342" s="47" t="n">
        <v>1.05888194470908</v>
      </c>
      <c r="G342" s="27" t="n">
        <f aca="false">'Visitor Economics'!$B$5*B342</f>
        <v>29671.3602914923</v>
      </c>
      <c r="H342" s="29" t="n">
        <f aca="false">MAX(0,'Visitor Economics'!$B$18*B342*C342*D342)</f>
        <v>701943.52896008</v>
      </c>
      <c r="I342" s="29" t="n">
        <f aca="false">H342*Controls!$B$52</f>
        <v>996759.811123313</v>
      </c>
      <c r="J342" s="29" t="n">
        <f aca="false">'City Fiscal'!$B$5+(H342*Controls!$B$56*Controls!$B$55)+('City Fiscal'!$B$9*B342*F342)</f>
        <v>153033.172013757</v>
      </c>
      <c r="K342" s="29" t="n">
        <f aca="false">J342-('City Fiscal'!$B$13*E342)</f>
        <v>35072.1107003901</v>
      </c>
      <c r="L342" s="30" t="n">
        <f aca="false">'Mobility &amp; Emissions'!$B$21*B342*F342</f>
        <v>91.066428592564</v>
      </c>
    </row>
    <row r="343" customFormat="false" ht="15" hidden="false" customHeight="true" outlineLevel="0" collapsed="false">
      <c r="A343" s="14" t="n">
        <v>339</v>
      </c>
      <c r="B343" s="47" t="n">
        <v>0.873196566460359</v>
      </c>
      <c r="C343" s="47" t="n">
        <v>0.965955472662042</v>
      </c>
      <c r="D343" s="47" t="n">
        <v>1.22457855236223</v>
      </c>
      <c r="E343" s="47" t="n">
        <v>0.945502589614717</v>
      </c>
      <c r="F343" s="47" t="n">
        <v>1.06992191310977</v>
      </c>
      <c r="G343" s="27" t="n">
        <f aca="false">'Visitor Economics'!$B$5*B343</f>
        <v>28116.9294400236</v>
      </c>
      <c r="H343" s="29" t="n">
        <f aca="false">MAX(0,'Visitor Economics'!$B$18*B343*C343*D343)</f>
        <v>747395.442120879</v>
      </c>
      <c r="I343" s="29" t="n">
        <f aca="false">H343*Controls!$B$52</f>
        <v>1061301.52781165</v>
      </c>
      <c r="J343" s="29" t="n">
        <f aca="false">'City Fiscal'!$B$5+(H343*Controls!$B$56*Controls!$B$55)+('City Fiscal'!$B$9*B343*F343)</f>
        <v>148928.736714486</v>
      </c>
      <c r="K343" s="29" t="n">
        <f aca="false">J343-('City Fiscal'!$B$13*E343)</f>
        <v>44923.4518568666</v>
      </c>
      <c r="L343" s="30" t="n">
        <f aca="false">'Mobility &amp; Emissions'!$B$21*B343*F343</f>
        <v>87.1953405395972</v>
      </c>
    </row>
    <row r="344" customFormat="false" ht="15" hidden="false" customHeight="true" outlineLevel="0" collapsed="false">
      <c r="A344" s="14" t="n">
        <v>340</v>
      </c>
      <c r="B344" s="47" t="n">
        <v>0.88263332792032</v>
      </c>
      <c r="C344" s="47" t="n">
        <v>0.921158291800524</v>
      </c>
      <c r="D344" s="47" t="n">
        <v>1.03470078959736</v>
      </c>
      <c r="E344" s="47" t="n">
        <v>1.14051826636375</v>
      </c>
      <c r="F344" s="47" t="n">
        <v>0.958478108390587</v>
      </c>
      <c r="G344" s="27" t="n">
        <f aca="false">'Visitor Economics'!$B$5*B344</f>
        <v>28420.7931590343</v>
      </c>
      <c r="H344" s="29" t="n">
        <f aca="false">MAX(0,'Visitor Economics'!$B$18*B344*C344*D344)</f>
        <v>608729.064348038</v>
      </c>
      <c r="I344" s="29" t="n">
        <f aca="false">H344*Controls!$B$52</f>
        <v>864395.271374214</v>
      </c>
      <c r="J344" s="29" t="n">
        <f aca="false">'City Fiscal'!$B$5+(H344*Controls!$B$56*Controls!$B$55)+('City Fiscal'!$B$9*B344*F344)</f>
        <v>138668.646529466</v>
      </c>
      <c r="K344" s="29" t="n">
        <f aca="false">J344-('City Fiscal'!$B$13*E344)</f>
        <v>13211.6372294535</v>
      </c>
      <c r="L344" s="30" t="n">
        <f aca="false">'Mobility &amp; Emissions'!$B$21*B344*F344</f>
        <v>78.9571923293918</v>
      </c>
    </row>
    <row r="345" customFormat="false" ht="15" hidden="false" customHeight="true" outlineLevel="0" collapsed="false">
      <c r="A345" s="14" t="n">
        <v>341</v>
      </c>
      <c r="B345" s="47" t="n">
        <v>0.897299616367659</v>
      </c>
      <c r="C345" s="47" t="n">
        <v>1.01530042980031</v>
      </c>
      <c r="D345" s="47" t="n">
        <v>0.89069281819522</v>
      </c>
      <c r="E345" s="47" t="n">
        <v>1.1315569757225</v>
      </c>
      <c r="F345" s="47" t="n">
        <v>1.03845404534453</v>
      </c>
      <c r="G345" s="27" t="n">
        <f aca="false">'Visitor Economics'!$B$5*B345</f>
        <v>28893.0476470386</v>
      </c>
      <c r="H345" s="29" t="n">
        <f aca="false">MAX(0,'Visitor Economics'!$B$18*B345*C345*D345)</f>
        <v>587157.580495306</v>
      </c>
      <c r="I345" s="29" t="n">
        <f aca="false">H345*Controls!$B$52</f>
        <v>833763.764303335</v>
      </c>
      <c r="J345" s="29" t="n">
        <f aca="false">'City Fiscal'!$B$5+(H345*Controls!$B$56*Controls!$B$55)+('City Fiscal'!$B$9*B345*F345)</f>
        <v>147630.792780407</v>
      </c>
      <c r="K345" s="29" t="n">
        <f aca="false">J345-('City Fiscal'!$B$13*E345)</f>
        <v>23159.5254509317</v>
      </c>
      <c r="L345" s="30" t="n">
        <f aca="false">'Mobility &amp; Emissions'!$B$21*B345*F345</f>
        <v>86.9668902597415</v>
      </c>
    </row>
    <row r="346" customFormat="false" ht="15" hidden="false" customHeight="true" outlineLevel="0" collapsed="false">
      <c r="A346" s="14" t="n">
        <v>342</v>
      </c>
      <c r="B346" s="47" t="n">
        <v>0.853891812807645</v>
      </c>
      <c r="C346" s="47" t="n">
        <v>1.01564483721444</v>
      </c>
      <c r="D346" s="47" t="n">
        <v>1.05056642709915</v>
      </c>
      <c r="E346" s="47" t="n">
        <v>1.05232286424576</v>
      </c>
      <c r="F346" s="47" t="n">
        <v>0.898605555238059</v>
      </c>
      <c r="G346" s="27" t="n">
        <f aca="false">'Visitor Economics'!$B$5*B346</f>
        <v>27495.3163724062</v>
      </c>
      <c r="H346" s="29" t="n">
        <f aca="false">MAX(0,'Visitor Economics'!$B$18*B346*C346*D346)</f>
        <v>659269.375484207</v>
      </c>
      <c r="I346" s="29" t="n">
        <f aca="false">H346*Controls!$B$52</f>
        <v>936162.513187575</v>
      </c>
      <c r="J346" s="29" t="n">
        <f aca="false">'City Fiscal'!$B$5+(H346*Controls!$B$56*Controls!$B$55)+('City Fiscal'!$B$9*B346*F346)</f>
        <v>130652.209344315</v>
      </c>
      <c r="K346" s="29" t="n">
        <f aca="false">J346-('City Fiscal'!$B$13*E346)</f>
        <v>14896.6942772817</v>
      </c>
      <c r="L346" s="30" t="n">
        <f aca="false">'Mobility &amp; Emissions'!$B$21*B346*F346</f>
        <v>71.6145265362363</v>
      </c>
    </row>
    <row r="347" customFormat="false" ht="15" hidden="false" customHeight="true" outlineLevel="0" collapsed="false">
      <c r="A347" s="14" t="n">
        <v>343</v>
      </c>
      <c r="B347" s="47" t="n">
        <v>0.881149394461855</v>
      </c>
      <c r="C347" s="47" t="n">
        <v>1.0885357345549</v>
      </c>
      <c r="D347" s="47" t="n">
        <v>0.970372529530917</v>
      </c>
      <c r="E347" s="47" t="n">
        <v>1.14814839225619</v>
      </c>
      <c r="F347" s="47" t="n">
        <v>0.966092635425336</v>
      </c>
      <c r="G347" s="27" t="n">
        <f aca="false">'Visitor Economics'!$B$5*B347</f>
        <v>28373.0105016717</v>
      </c>
      <c r="H347" s="29" t="n">
        <f aca="false">MAX(0,'Visitor Economics'!$B$18*B347*C347*D347)</f>
        <v>673481.081838823</v>
      </c>
      <c r="I347" s="29" t="n">
        <f aca="false">H347*Controls!$B$52</f>
        <v>956343.136211129</v>
      </c>
      <c r="J347" s="29" t="n">
        <f aca="false">'City Fiscal'!$B$5+(H347*Controls!$B$56*Controls!$B$55)+('City Fiscal'!$B$9*B347*F347)</f>
        <v>139648.995350935</v>
      </c>
      <c r="K347" s="29" t="n">
        <f aca="false">J347-('City Fiscal'!$B$13*E347)</f>
        <v>13352.6722027546</v>
      </c>
      <c r="L347" s="30" t="n">
        <f aca="false">'Mobility &amp; Emissions'!$B$21*B347*F347</f>
        <v>79.4506573877455</v>
      </c>
    </row>
    <row r="348" customFormat="false" ht="15" hidden="false" customHeight="true" outlineLevel="0" collapsed="false">
      <c r="A348" s="14" t="n">
        <v>344</v>
      </c>
      <c r="B348" s="47" t="n">
        <v>0.878114219152985</v>
      </c>
      <c r="C348" s="47" t="n">
        <v>0.927624346687913</v>
      </c>
      <c r="D348" s="47" t="n">
        <v>1.14687992436</v>
      </c>
      <c r="E348" s="47" t="n">
        <v>1.02037258438941</v>
      </c>
      <c r="F348" s="47" t="n">
        <v>0.989508064283037</v>
      </c>
      <c r="G348" s="27" t="n">
        <f aca="false">'Visitor Economics'!$B$5*B348</f>
        <v>28275.2778567261</v>
      </c>
      <c r="H348" s="29" t="n">
        <f aca="false">MAX(0,'Visitor Economics'!$B$18*B348*C348*D348)</f>
        <v>675982.991333589</v>
      </c>
      <c r="I348" s="29" t="n">
        <f aca="false">H348*Controls!$B$52</f>
        <v>959895.847693696</v>
      </c>
      <c r="J348" s="29" t="n">
        <f aca="false">'City Fiscal'!$B$5+(H348*Controls!$B$56*Controls!$B$55)+('City Fiscal'!$B$9*B348*F348)</f>
        <v>141534.934452167</v>
      </c>
      <c r="K348" s="29" t="n">
        <f aca="false">J348-('City Fiscal'!$B$13*E348)</f>
        <v>29293.9501693318</v>
      </c>
      <c r="L348" s="30" t="n">
        <f aca="false">'Mobility &amp; Emissions'!$B$21*B348*F348</f>
        <v>81.0960169081262</v>
      </c>
    </row>
    <row r="349" customFormat="false" ht="15" hidden="false" customHeight="true" outlineLevel="0" collapsed="false">
      <c r="A349" s="14" t="n">
        <v>345</v>
      </c>
      <c r="B349" s="47" t="n">
        <v>0.927631174089956</v>
      </c>
      <c r="C349" s="47" t="n">
        <v>1.05015731963906</v>
      </c>
      <c r="D349" s="47" t="n">
        <v>0.836157813347744</v>
      </c>
      <c r="E349" s="47" t="n">
        <v>1.08754616040241</v>
      </c>
      <c r="F349" s="47" t="n">
        <v>0.969906213350268</v>
      </c>
      <c r="G349" s="27" t="n">
        <f aca="false">'Visitor Economics'!$B$5*B349</f>
        <v>29869.7238056966</v>
      </c>
      <c r="H349" s="29" t="n">
        <f aca="false">MAX(0,'Visitor Economics'!$B$18*B349*C349*D349)</f>
        <v>589403.378352492</v>
      </c>
      <c r="I349" s="29" t="n">
        <f aca="false">H349*Controls!$B$52</f>
        <v>836952.797260539</v>
      </c>
      <c r="J349" s="29" t="n">
        <f aca="false">'City Fiscal'!$B$5+(H349*Controls!$B$56*Controls!$B$55)+('City Fiscal'!$B$9*B349*F349)</f>
        <v>144242.00754345</v>
      </c>
      <c r="K349" s="29" t="n">
        <f aca="false">J349-('City Fiscal'!$B$13*E349)</f>
        <v>24611.9298991854</v>
      </c>
      <c r="L349" s="30" t="n">
        <f aca="false">'Mobility &amp; Emissions'!$B$21*B349*F349</f>
        <v>83.9719528135191</v>
      </c>
    </row>
    <row r="350" customFormat="false" ht="15" hidden="false" customHeight="true" outlineLevel="0" collapsed="false">
      <c r="A350" s="14" t="n">
        <v>346</v>
      </c>
      <c r="B350" s="47" t="n">
        <v>0.926469256391281</v>
      </c>
      <c r="C350" s="47" t="n">
        <v>1.07181286478737</v>
      </c>
      <c r="D350" s="47" t="n">
        <v>1.10929196895699</v>
      </c>
      <c r="E350" s="47" t="n">
        <v>1.11864646940413</v>
      </c>
      <c r="F350" s="47" t="n">
        <v>1.09018779388787</v>
      </c>
      <c r="G350" s="27" t="n">
        <f aca="false">'Visitor Economics'!$B$5*B350</f>
        <v>29832.3100557992</v>
      </c>
      <c r="H350" s="29" t="n">
        <f aca="false">MAX(0,'Visitor Economics'!$B$18*B350*C350*D350)</f>
        <v>797059.084991216</v>
      </c>
      <c r="I350" s="29" t="n">
        <f aca="false">H350*Controls!$B$52</f>
        <v>1131823.90068753</v>
      </c>
      <c r="J350" s="29" t="n">
        <f aca="false">'City Fiscal'!$B$5+(H350*Controls!$B$56*Controls!$B$55)+('City Fiscal'!$B$9*B350*F350)</f>
        <v>157286.982188779</v>
      </c>
      <c r="K350" s="29" t="n">
        <f aca="false">J350-('City Fiscal'!$B$13*E350)</f>
        <v>34235.8705543247</v>
      </c>
      <c r="L350" s="30" t="n">
        <f aca="false">'Mobility &amp; Emissions'!$B$21*B350*F350</f>
        <v>94.2673945998716</v>
      </c>
    </row>
    <row r="351" customFormat="false" ht="15" hidden="false" customHeight="true" outlineLevel="0" collapsed="false">
      <c r="A351" s="14" t="n">
        <v>347</v>
      </c>
      <c r="B351" s="47" t="n">
        <v>0.88898440255376</v>
      </c>
      <c r="C351" s="47" t="n">
        <v>0.977521427113901</v>
      </c>
      <c r="D351" s="47" t="n">
        <v>1.0968946441172</v>
      </c>
      <c r="E351" s="47" t="n">
        <v>0.830774970997641</v>
      </c>
      <c r="F351" s="47" t="n">
        <v>1.01000892885616</v>
      </c>
      <c r="G351" s="27" t="n">
        <f aca="false">'Visitor Economics'!$B$5*B351</f>
        <v>28625.2977622311</v>
      </c>
      <c r="H351" s="29" t="n">
        <f aca="false">MAX(0,'Visitor Economics'!$B$18*B351*C351*D351)</f>
        <v>689731.423642687</v>
      </c>
      <c r="I351" s="29" t="n">
        <f aca="false">H351*Controls!$B$52</f>
        <v>979418.621572615</v>
      </c>
      <c r="J351" s="29" t="n">
        <f aca="false">'City Fiscal'!$B$5+(H351*Controls!$B$56*Controls!$B$55)+('City Fiscal'!$B$9*B351*F351)</f>
        <v>144697.721728001</v>
      </c>
      <c r="K351" s="29" t="n">
        <f aca="false">J351-('City Fiscal'!$B$13*E351)</f>
        <v>53312.4749182601</v>
      </c>
      <c r="L351" s="30" t="n">
        <f aca="false">'Mobility &amp; Emissions'!$B$21*B351*F351</f>
        <v>83.8008706504604</v>
      </c>
    </row>
    <row r="352" customFormat="false" ht="15" hidden="false" customHeight="true" outlineLevel="0" collapsed="false">
      <c r="A352" s="14" t="n">
        <v>348</v>
      </c>
      <c r="B352" s="47" t="n">
        <v>0.82797499348619</v>
      </c>
      <c r="C352" s="47" t="n">
        <v>1.04913392913389</v>
      </c>
      <c r="D352" s="47" t="n">
        <v>0.910419707099809</v>
      </c>
      <c r="E352" s="47" t="n">
        <v>0.971744851642486</v>
      </c>
      <c r="F352" s="47" t="n">
        <v>1.04446564540397</v>
      </c>
      <c r="G352" s="27" t="n">
        <f aca="false">'Visitor Economics'!$B$5*B352</f>
        <v>26660.7947902553</v>
      </c>
      <c r="H352" s="29" t="n">
        <f aca="false">MAX(0,'Visitor Economics'!$B$18*B352*C352*D352)</f>
        <v>572248.248836634</v>
      </c>
      <c r="I352" s="29" t="n">
        <f aca="false">H352*Controls!$B$52</f>
        <v>812592.513348021</v>
      </c>
      <c r="J352" s="29" t="n">
        <f aca="false">'City Fiscal'!$B$5+(H352*Controls!$B$56*Controls!$B$55)+('City Fiscal'!$B$9*B352*F352)</f>
        <v>140426.867360013</v>
      </c>
      <c r="K352" s="29" t="n">
        <f aca="false">J352-('City Fiscal'!$B$13*E352)</f>
        <v>33534.9336793395</v>
      </c>
      <c r="L352" s="30" t="n">
        <f aca="false">'Mobility &amp; Emissions'!$B$21*B352*F352</f>
        <v>80.7124548626454</v>
      </c>
    </row>
    <row r="353" customFormat="false" ht="15" hidden="false" customHeight="true" outlineLevel="0" collapsed="false">
      <c r="A353" s="14" t="n">
        <v>349</v>
      </c>
      <c r="B353" s="47" t="n">
        <v>0.932159234976009</v>
      </c>
      <c r="C353" s="47" t="n">
        <v>0.98241613220367</v>
      </c>
      <c r="D353" s="47" t="n">
        <v>1.03279905617148</v>
      </c>
      <c r="E353" s="47" t="n">
        <v>0.93386175828609</v>
      </c>
      <c r="F353" s="47" t="n">
        <v>1.10947223174168</v>
      </c>
      <c r="G353" s="27" t="n">
        <f aca="false">'Visitor Economics'!$B$5*B353</f>
        <v>30015.5273662275</v>
      </c>
      <c r="H353" s="29" t="n">
        <f aca="false">MAX(0,'Visitor Economics'!$B$18*B353*C353*D353)</f>
        <v>684378.084424414</v>
      </c>
      <c r="I353" s="29" t="n">
        <f aca="false">H353*Controls!$B$52</f>
        <v>971816.879882667</v>
      </c>
      <c r="J353" s="29" t="n">
        <f aca="false">'City Fiscal'!$B$5+(H353*Controls!$B$56*Controls!$B$55)+('City Fiscal'!$B$9*B353*F353)</f>
        <v>159121.236915643</v>
      </c>
      <c r="K353" s="29" t="n">
        <f aca="false">J353-('City Fiscal'!$B$13*E353)</f>
        <v>56396.4435041726</v>
      </c>
      <c r="L353" s="30" t="n">
        <f aca="false">'Mobility &amp; Emissions'!$B$21*B353*F353</f>
        <v>96.5240908971436</v>
      </c>
    </row>
    <row r="354" customFormat="false" ht="15" hidden="false" customHeight="true" outlineLevel="0" collapsed="false">
      <c r="A354" s="14" t="n">
        <v>350</v>
      </c>
      <c r="B354" s="47" t="n">
        <v>0.956786077482884</v>
      </c>
      <c r="C354" s="47" t="n">
        <v>1.03151271277748</v>
      </c>
      <c r="D354" s="47" t="n">
        <v>0.882949016508173</v>
      </c>
      <c r="E354" s="47" t="n">
        <v>1.0206067786529</v>
      </c>
      <c r="F354" s="47" t="n">
        <v>1.02767870177275</v>
      </c>
      <c r="G354" s="27" t="n">
        <f aca="false">'Visitor Economics'!$B$5*B354</f>
        <v>30808.5116949489</v>
      </c>
      <c r="H354" s="29" t="n">
        <f aca="false">MAX(0,'Visitor Economics'!$B$18*B354*C354*D354)</f>
        <v>630550.288308433</v>
      </c>
      <c r="I354" s="29" t="n">
        <f aca="false">H354*Controls!$B$52</f>
        <v>895381.409397975</v>
      </c>
      <c r="J354" s="29" t="n">
        <f aca="false">'City Fiscal'!$B$5+(H354*Controls!$B$56*Controls!$B$55)+('City Fiscal'!$B$9*B354*F354)</f>
        <v>153370.212344911</v>
      </c>
      <c r="K354" s="29" t="n">
        <f aca="false">J354-('City Fiscal'!$B$13*E354)</f>
        <v>41103.4666930924</v>
      </c>
      <c r="L354" s="30" t="n">
        <f aca="false">'Mobility &amp; Emissions'!$B$21*B354*F354</f>
        <v>91.770136899472</v>
      </c>
    </row>
    <row r="355" customFormat="false" ht="15" hidden="false" customHeight="true" outlineLevel="0" collapsed="false">
      <c r="A355" s="14" t="n">
        <v>351</v>
      </c>
      <c r="B355" s="47" t="n">
        <v>0.980655368854188</v>
      </c>
      <c r="C355" s="47" t="n">
        <v>1.09715268068241</v>
      </c>
      <c r="D355" s="47" t="n">
        <v>0.965698411409468</v>
      </c>
      <c r="E355" s="47" t="n">
        <v>0.954147307091868</v>
      </c>
      <c r="F355" s="47" t="n">
        <v>0.952944159620641</v>
      </c>
      <c r="G355" s="27" t="n">
        <f aca="false">'Visitor Economics'!$B$5*B355</f>
        <v>31577.1028771049</v>
      </c>
      <c r="H355" s="29" t="n">
        <f aca="false">MAX(0,'Visitor Economics'!$B$18*B355*C355*D355)</f>
        <v>751830.024632357</v>
      </c>
      <c r="I355" s="29" t="n">
        <f aca="false">H355*Controls!$B$52</f>
        <v>1067598.63497795</v>
      </c>
      <c r="J355" s="29" t="n">
        <f aca="false">'City Fiscal'!$B$5+(H355*Controls!$B$56*Controls!$B$55)+('City Fiscal'!$B$9*B355*F355)</f>
        <v>148984.800483865</v>
      </c>
      <c r="K355" s="29" t="n">
        <f aca="false">J355-('City Fiscal'!$B$13*E355)</f>
        <v>44028.596703759</v>
      </c>
      <c r="L355" s="30" t="n">
        <f aca="false">'Mobility &amp; Emissions'!$B$21*B355*F355</f>
        <v>87.2193888933372</v>
      </c>
    </row>
    <row r="356" customFormat="false" ht="15" hidden="false" customHeight="true" outlineLevel="0" collapsed="false">
      <c r="A356" s="14" t="n">
        <v>352</v>
      </c>
      <c r="B356" s="47" t="n">
        <v>0.932295952202877</v>
      </c>
      <c r="C356" s="47" t="n">
        <v>0.863783558557979</v>
      </c>
      <c r="D356" s="47" t="n">
        <v>0.997735849138354</v>
      </c>
      <c r="E356" s="47" t="n">
        <v>1.17854197036022</v>
      </c>
      <c r="F356" s="47" t="n">
        <v>1.036059225911</v>
      </c>
      <c r="G356" s="27" t="n">
        <f aca="false">'Visitor Economics'!$B$5*B356</f>
        <v>30019.9296609326</v>
      </c>
      <c r="H356" s="29" t="n">
        <f aca="false">MAX(0,'Visitor Economics'!$B$18*B356*C356*D356)</f>
        <v>581391.902129316</v>
      </c>
      <c r="I356" s="29" t="n">
        <f aca="false">H356*Controls!$B$52</f>
        <v>825576.501023628</v>
      </c>
      <c r="J356" s="29" t="n">
        <f aca="false">'City Fiscal'!$B$5+(H356*Controls!$B$56*Controls!$B$55)+('City Fiscal'!$B$9*B356*F356)</f>
        <v>151211.032154156</v>
      </c>
      <c r="K356" s="29" t="n">
        <f aca="false">J356-('City Fiscal'!$B$13*E356)</f>
        <v>21571.4154145319</v>
      </c>
      <c r="L356" s="30" t="n">
        <f aca="false">'Mobility &amp; Emissions'!$B$21*B356*F356</f>
        <v>90.1503791129552</v>
      </c>
    </row>
    <row r="357" customFormat="false" ht="15" hidden="false" customHeight="true" outlineLevel="0" collapsed="false">
      <c r="A357" s="14" t="n">
        <v>353</v>
      </c>
      <c r="B357" s="47" t="n">
        <v>0.937951234012936</v>
      </c>
      <c r="C357" s="47" t="n">
        <v>0.984398905105843</v>
      </c>
      <c r="D357" s="47" t="n">
        <v>1.20213299675142</v>
      </c>
      <c r="E357" s="47" t="n">
        <v>1.05506090694784</v>
      </c>
      <c r="F357" s="47" t="n">
        <v>1.04640222010101</v>
      </c>
      <c r="G357" s="27" t="n">
        <f aca="false">'Visitor Economics'!$B$5*B357</f>
        <v>30202.0297352165</v>
      </c>
      <c r="H357" s="29" t="n">
        <f aca="false">MAX(0,'Visitor Economics'!$B$18*B357*C357*D357)</f>
        <v>803153.523008904</v>
      </c>
      <c r="I357" s="29" t="n">
        <f aca="false">H357*Controls!$B$52</f>
        <v>1140478.00267264</v>
      </c>
      <c r="J357" s="29" t="n">
        <f aca="false">'City Fiscal'!$B$5+(H357*Controls!$B$56*Controls!$B$55)+('City Fiscal'!$B$9*B357*F357)</f>
        <v>154298.367324965</v>
      </c>
      <c r="K357" s="29" t="n">
        <f aca="false">J357-('City Fiscal'!$B$13*E357)</f>
        <v>38241.6675607028</v>
      </c>
      <c r="L357" s="30" t="n">
        <f aca="false">'Mobility &amp; Emissions'!$B$21*B357*F357</f>
        <v>91.6026605963635</v>
      </c>
    </row>
    <row r="358" customFormat="false" ht="15" hidden="false" customHeight="true" outlineLevel="0" collapsed="false">
      <c r="A358" s="14" t="n">
        <v>354</v>
      </c>
      <c r="B358" s="47" t="n">
        <v>0.869330845736509</v>
      </c>
      <c r="C358" s="47" t="n">
        <v>1.04494002398082</v>
      </c>
      <c r="D358" s="47" t="n">
        <v>0.965976611432728</v>
      </c>
      <c r="E358" s="47" t="n">
        <v>1.221605458271</v>
      </c>
      <c r="F358" s="47" t="n">
        <v>1.0598750866852</v>
      </c>
      <c r="G358" s="27" t="n">
        <f aca="false">'Visitor Economics'!$B$5*B358</f>
        <v>27992.4532327156</v>
      </c>
      <c r="H358" s="29" t="n">
        <f aca="false">MAX(0,'Visitor Economics'!$B$18*B358*C358*D358)</f>
        <v>634947.378624961</v>
      </c>
      <c r="I358" s="29" t="n">
        <f aca="false">H358*Controls!$B$52</f>
        <v>901625.277647444</v>
      </c>
      <c r="J358" s="29" t="n">
        <f aca="false">'City Fiscal'!$B$5+(H358*Controls!$B$56*Controls!$B$55)+('City Fiscal'!$B$9*B358*F358)</f>
        <v>146835.093393396</v>
      </c>
      <c r="K358" s="29" t="n">
        <f aca="false">J358-('City Fiscal'!$B$13*E358)</f>
        <v>12458.4929835855</v>
      </c>
      <c r="L358" s="30" t="n">
        <f aca="false">'Mobility &amp; Emissions'!$B$21*B358*F358</f>
        <v>85.9941582543171</v>
      </c>
    </row>
    <row r="359" customFormat="false" ht="15" hidden="false" customHeight="true" outlineLevel="0" collapsed="false">
      <c r="A359" s="14" t="n">
        <v>355</v>
      </c>
      <c r="B359" s="47" t="n">
        <v>0.874449986765484</v>
      </c>
      <c r="C359" s="47" t="n">
        <v>1.03504118644896</v>
      </c>
      <c r="D359" s="47" t="n">
        <v>1.03911199654793</v>
      </c>
      <c r="E359" s="47" t="n">
        <v>0.946424285641644</v>
      </c>
      <c r="F359" s="47" t="n">
        <v>0.985747928160985</v>
      </c>
      <c r="G359" s="27" t="n">
        <f aca="false">'Visitor Economics'!$B$5*B359</f>
        <v>28157.2895738486</v>
      </c>
      <c r="H359" s="29" t="n">
        <f aca="false">MAX(0,'Visitor Economics'!$B$18*B359*C359*D359)</f>
        <v>680533.698694288</v>
      </c>
      <c r="I359" s="29" t="n">
        <f aca="false">H359*Controls!$B$52</f>
        <v>966357.852145888</v>
      </c>
      <c r="J359" s="29" t="n">
        <f aca="false">'City Fiscal'!$B$5+(H359*Controls!$B$56*Controls!$B$55)+('City Fiscal'!$B$9*B359*F359)</f>
        <v>140831.149969079</v>
      </c>
      <c r="K359" s="29" t="n">
        <f aca="false">J359-('City Fiscal'!$B$13*E359)</f>
        <v>36724.4785484983</v>
      </c>
      <c r="L359" s="30" t="n">
        <f aca="false">'Mobility &amp; Emissions'!$B$21*B359*F359</f>
        <v>80.4507366093554</v>
      </c>
    </row>
    <row r="360" customFormat="false" ht="15" hidden="false" customHeight="true" outlineLevel="0" collapsed="false">
      <c r="A360" s="14" t="n">
        <v>356</v>
      </c>
      <c r="B360" s="47" t="n">
        <v>0.835143449293638</v>
      </c>
      <c r="C360" s="47" t="n">
        <v>1.08325765385825</v>
      </c>
      <c r="D360" s="47" t="n">
        <v>1.12428703328614</v>
      </c>
      <c r="E360" s="47" t="n">
        <v>1.19562859207267</v>
      </c>
      <c r="F360" s="47" t="n">
        <v>1.05765553617027</v>
      </c>
      <c r="G360" s="27" t="n">
        <f aca="false">'Visitor Economics'!$B$5*B360</f>
        <v>26891.6190672551</v>
      </c>
      <c r="H360" s="29" t="n">
        <f aca="false">MAX(0,'Visitor Economics'!$B$18*B360*C360*D360)</f>
        <v>735977.803608376</v>
      </c>
      <c r="I360" s="29" t="n">
        <f aca="false">H360*Controls!$B$52</f>
        <v>1045088.48112389</v>
      </c>
      <c r="J360" s="29" t="n">
        <f aca="false">'City Fiscal'!$B$5+(H360*Controls!$B$56*Controls!$B$55)+('City Fiscal'!$B$9*B360*F360)</f>
        <v>143450.203515351</v>
      </c>
      <c r="K360" s="29" t="n">
        <f aca="false">J360-('City Fiscal'!$B$13*E360)</f>
        <v>11931.058387357</v>
      </c>
      <c r="L360" s="30" t="n">
        <f aca="false">'Mobility &amp; Emissions'!$B$21*B360*F360</f>
        <v>82.4393392662122</v>
      </c>
    </row>
    <row r="361" customFormat="false" ht="15" hidden="false" customHeight="true" outlineLevel="0" collapsed="false">
      <c r="A361" s="14" t="n">
        <v>357</v>
      </c>
      <c r="B361" s="47" t="n">
        <v>0.95716688771038</v>
      </c>
      <c r="C361" s="47" t="n">
        <v>0.960103533146028</v>
      </c>
      <c r="D361" s="47" t="n">
        <v>1.05204482830701</v>
      </c>
      <c r="E361" s="47" t="n">
        <v>1.08954361963449</v>
      </c>
      <c r="F361" s="47" t="n">
        <v>0.933919604384196</v>
      </c>
      <c r="G361" s="27" t="n">
        <f aca="false">'Visitor Economics'!$B$5*B361</f>
        <v>30820.7737842742</v>
      </c>
      <c r="H361" s="29" t="n">
        <f aca="false">MAX(0,'Visitor Economics'!$B$18*B361*C361*D361)</f>
        <v>699575.593230639</v>
      </c>
      <c r="I361" s="29" t="n">
        <f aca="false">H361*Controls!$B$52</f>
        <v>993397.342387507</v>
      </c>
      <c r="J361" s="29" t="n">
        <f aca="false">'City Fiscal'!$B$5+(H361*Controls!$B$56*Controls!$B$55)+('City Fiscal'!$B$9*B361*F361)</f>
        <v>144340.961099863</v>
      </c>
      <c r="K361" s="29" t="n">
        <f aca="false">J361-('City Fiscal'!$B$13*E361)</f>
        <v>24491.1629400691</v>
      </c>
      <c r="L361" s="30" t="n">
        <f aca="false">'Mobility &amp; Emissions'!$B$21*B361*F361</f>
        <v>83.430785905041</v>
      </c>
    </row>
    <row r="362" customFormat="false" ht="15" hidden="false" customHeight="true" outlineLevel="0" collapsed="false">
      <c r="A362" s="14" t="n">
        <v>358</v>
      </c>
      <c r="B362" s="47" t="n">
        <v>0.96255437353462</v>
      </c>
      <c r="C362" s="47" t="n">
        <v>0.833747727084867</v>
      </c>
      <c r="D362" s="47" t="n">
        <v>0.796077935190814</v>
      </c>
      <c r="E362" s="47" t="n">
        <v>0.874588460319009</v>
      </c>
      <c r="F362" s="47" t="n">
        <v>1.07916568628129</v>
      </c>
      <c r="G362" s="27" t="n">
        <f aca="false">'Visitor Economics'!$B$5*B362</f>
        <v>30994.2508278148</v>
      </c>
      <c r="H362" s="29" t="n">
        <f aca="false">MAX(0,'Visitor Economics'!$B$18*B362*C362*D362)</f>
        <v>462285.414167094</v>
      </c>
      <c r="I362" s="29" t="n">
        <f aca="false">H362*Controls!$B$52</f>
        <v>656445.288117274</v>
      </c>
      <c r="J362" s="29" t="n">
        <f aca="false">'City Fiscal'!$B$5+(H362*Controls!$B$56*Controls!$B$55)+('City Fiscal'!$B$9*B362*F362)</f>
        <v>158164.735394751</v>
      </c>
      <c r="K362" s="29" t="n">
        <f aca="false">J362-('City Fiscal'!$B$13*E362)</f>
        <v>61960.0047596596</v>
      </c>
      <c r="L362" s="30" t="n">
        <f aca="false">'Mobility &amp; Emissions'!$B$21*B362*F362</f>
        <v>96.9488308016341</v>
      </c>
    </row>
    <row r="363" customFormat="false" ht="15" hidden="false" customHeight="true" outlineLevel="0" collapsed="false">
      <c r="A363" s="14" t="n">
        <v>359</v>
      </c>
      <c r="B363" s="47" t="n">
        <v>0.822792522711334</v>
      </c>
      <c r="C363" s="47" t="n">
        <v>1.01720894980593</v>
      </c>
      <c r="D363" s="47" t="n">
        <v>1.01140253563795</v>
      </c>
      <c r="E363" s="47" t="n">
        <v>1.1357141741072</v>
      </c>
      <c r="F363" s="47" t="n">
        <v>1.00557874117707</v>
      </c>
      <c r="G363" s="27" t="n">
        <f aca="false">'Visitor Economics'!$B$5*B363</f>
        <v>26493.919231305</v>
      </c>
      <c r="H363" s="29" t="n">
        <f aca="false">MAX(0,'Visitor Economics'!$B$18*B363*C363*D363)</f>
        <v>612518.508853179</v>
      </c>
      <c r="I363" s="29" t="n">
        <f aca="false">H363*Controls!$B$52</f>
        <v>869776.282571514</v>
      </c>
      <c r="J363" s="29" t="n">
        <f aca="false">'City Fiscal'!$B$5+(H363*Controls!$B$56*Controls!$B$55)+('City Fiscal'!$B$9*B363*F363)</f>
        <v>136720.291608411</v>
      </c>
      <c r="K363" s="29" t="n">
        <f aca="false">J363-('City Fiscal'!$B$13*E363)</f>
        <v>11791.7324566191</v>
      </c>
      <c r="L363" s="30" t="n">
        <f aca="false">'Mobility &amp; Emissions'!$B$21*B363*F363</f>
        <v>77.2210310705174</v>
      </c>
    </row>
    <row r="364" customFormat="false" ht="15" hidden="false" customHeight="true" outlineLevel="0" collapsed="false">
      <c r="A364" s="14" t="n">
        <v>360</v>
      </c>
      <c r="B364" s="47" t="n">
        <v>0.929335784346855</v>
      </c>
      <c r="C364" s="47" t="n">
        <v>0.973704261489394</v>
      </c>
      <c r="D364" s="47" t="n">
        <v>1.20732389427326</v>
      </c>
      <c r="E364" s="47" t="n">
        <v>0.942063508060354</v>
      </c>
      <c r="F364" s="47" t="n">
        <v>0.921780916684032</v>
      </c>
      <c r="G364" s="27" t="n">
        <f aca="false">'Visitor Economics'!$B$5*B364</f>
        <v>29924.6122559687</v>
      </c>
      <c r="H364" s="29" t="n">
        <f aca="false">MAX(0,'Visitor Economics'!$B$18*B364*C364*D364)</f>
        <v>790529.709800109</v>
      </c>
      <c r="I364" s="29" t="n">
        <f aca="false">H364*Controls!$B$52</f>
        <v>1122552.18791615</v>
      </c>
      <c r="J364" s="29" t="n">
        <f aca="false">'City Fiscal'!$B$5+(H364*Controls!$B$56*Controls!$B$55)+('City Fiscal'!$B$9*B364*F364)</f>
        <v>140977.223421455</v>
      </c>
      <c r="K364" s="29" t="n">
        <f aca="false">J364-('City Fiscal'!$B$13*E364)</f>
        <v>37350.2375348158</v>
      </c>
      <c r="L364" s="30" t="n">
        <f aca="false">'Mobility &amp; Emissions'!$B$21*B364*F364</f>
        <v>79.952039993716</v>
      </c>
    </row>
    <row r="365" customFormat="false" ht="15" hidden="false" customHeight="true" outlineLevel="0" collapsed="false">
      <c r="A365" s="14" t="n">
        <v>361</v>
      </c>
      <c r="B365" s="47" t="n">
        <v>0.983176094720956</v>
      </c>
      <c r="C365" s="47" t="n">
        <v>0.995057133530742</v>
      </c>
      <c r="D365" s="47" t="n">
        <v>0.974137322532274</v>
      </c>
      <c r="E365" s="47" t="n">
        <v>1.01254737314572</v>
      </c>
      <c r="F365" s="47" t="n">
        <v>1.05430517255358</v>
      </c>
      <c r="G365" s="27" t="n">
        <f aca="false">'Visitor Economics'!$B$5*B365</f>
        <v>31658.2702500148</v>
      </c>
      <c r="H365" s="29" t="n">
        <f aca="false">MAX(0,'Visitor Economics'!$B$18*B365*C365*D365)</f>
        <v>689595.121527732</v>
      </c>
      <c r="I365" s="29" t="n">
        <f aca="false">H365*Controls!$B$52</f>
        <v>979225.07256938</v>
      </c>
      <c r="J365" s="29" t="n">
        <f aca="false">'City Fiscal'!$B$5+(H365*Controls!$B$56*Controls!$B$55)+('City Fiscal'!$B$9*B365*F365)</f>
        <v>159405.644809184</v>
      </c>
      <c r="K365" s="29" t="n">
        <f aca="false">J365-('City Fiscal'!$B$13*E365)</f>
        <v>48025.4337631547</v>
      </c>
      <c r="L365" s="30" t="n">
        <f aca="false">'Mobility &amp; Emissions'!$B$21*B365*F365</f>
        <v>96.7446202110821</v>
      </c>
    </row>
    <row r="366" customFormat="false" ht="15" hidden="false" customHeight="true" outlineLevel="0" collapsed="false">
      <c r="A366" s="14" t="n">
        <v>362</v>
      </c>
      <c r="B366" s="47" t="n">
        <v>0.896869157607985</v>
      </c>
      <c r="C366" s="47" t="n">
        <v>1.02186743659722</v>
      </c>
      <c r="D366" s="47" t="n">
        <v>1.24233514514162</v>
      </c>
      <c r="E366" s="47" t="n">
        <v>1.15813733075944</v>
      </c>
      <c r="F366" s="47" t="n">
        <v>0.967632903560186</v>
      </c>
      <c r="G366" s="27" t="n">
        <f aca="false">'Visitor Economics'!$B$5*B366</f>
        <v>28879.1868749771</v>
      </c>
      <c r="H366" s="29" t="n">
        <f aca="false">MAX(0,'Visitor Economics'!$B$18*B366*C366*D366)</f>
        <v>823866.967131018</v>
      </c>
      <c r="I366" s="29" t="n">
        <f aca="false">H366*Controls!$B$52</f>
        <v>1169891.09332605</v>
      </c>
      <c r="J366" s="29" t="n">
        <f aca="false">'City Fiscal'!$B$5+(H366*Controls!$B$56*Controls!$B$55)+('City Fiscal'!$B$9*B366*F366)</f>
        <v>142380.694904819</v>
      </c>
      <c r="K366" s="29" t="n">
        <f aca="false">J366-('City Fiscal'!$B$13*E366)</f>
        <v>14985.5885212802</v>
      </c>
      <c r="L366" s="30" t="n">
        <f aca="false">'Mobility &amp; Emissions'!$B$21*B366*F366</f>
        <v>80.9969925228724</v>
      </c>
    </row>
    <row r="367" customFormat="false" ht="15" hidden="false" customHeight="true" outlineLevel="0" collapsed="false">
      <c r="A367" s="14" t="n">
        <v>363</v>
      </c>
      <c r="B367" s="47" t="n">
        <v>0.893069889891164</v>
      </c>
      <c r="C367" s="47" t="n">
        <v>1.03696988498141</v>
      </c>
      <c r="D367" s="47" t="n">
        <v>0.912386932889919</v>
      </c>
      <c r="E367" s="47" t="n">
        <v>1.12536553446177</v>
      </c>
      <c r="F367" s="47" t="n">
        <v>0.989991071143841</v>
      </c>
      <c r="G367" s="27" t="n">
        <f aca="false">'Visitor Economics'!$B$5*B367</f>
        <v>28756.8504544955</v>
      </c>
      <c r="H367" s="29" t="n">
        <f aca="false">MAX(0,'Visitor Economics'!$B$18*B367*C367*D367)</f>
        <v>611399.835601823</v>
      </c>
      <c r="I367" s="29" t="n">
        <f aca="false">H367*Controls!$B$52</f>
        <v>868187.766554588</v>
      </c>
      <c r="J367" s="29" t="n">
        <f aca="false">'City Fiscal'!$B$5+(H367*Controls!$B$56*Controls!$B$55)+('City Fiscal'!$B$9*B367*F367)</f>
        <v>142731.722635057</v>
      </c>
      <c r="K367" s="29" t="n">
        <f aca="false">J367-('City Fiscal'!$B$13*E367)</f>
        <v>18941.5138442625</v>
      </c>
      <c r="L367" s="30" t="n">
        <f aca="false">'Mobility &amp; Emissions'!$B$21*B367*F367</f>
        <v>82.5174694963145</v>
      </c>
    </row>
    <row r="368" customFormat="false" ht="15" hidden="false" customHeight="true" outlineLevel="0" collapsed="false">
      <c r="A368" s="14" t="n">
        <v>364</v>
      </c>
      <c r="B368" s="47" t="n">
        <v>0.844677662295417</v>
      </c>
      <c r="C368" s="47" t="n">
        <v>1.00082785560375</v>
      </c>
      <c r="D368" s="47" t="n">
        <v>0.9996271841098</v>
      </c>
      <c r="E368" s="47" t="n">
        <v>1.17929816126861</v>
      </c>
      <c r="F368" s="47" t="n">
        <v>0.9801633588995</v>
      </c>
      <c r="G368" s="27" t="n">
        <f aca="false">'Visitor Economics'!$B$5*B368</f>
        <v>27198.6207259124</v>
      </c>
      <c r="H368" s="29" t="n">
        <f aca="false">MAX(0,'Visitor Economics'!$B$18*B368*C368*D368)</f>
        <v>611481.216897167</v>
      </c>
      <c r="I368" s="29" t="n">
        <f aca="false">H368*Controls!$B$52</f>
        <v>868303.327993977</v>
      </c>
      <c r="J368" s="29" t="n">
        <f aca="false">'City Fiscal'!$B$5+(H368*Controls!$B$56*Controls!$B$55)+('City Fiscal'!$B$9*B368*F368)</f>
        <v>136770.780742818</v>
      </c>
      <c r="K368" s="29" t="n">
        <f aca="false">J368-('City Fiscal'!$B$13*E368)</f>
        <v>7047.98300327046</v>
      </c>
      <c r="L368" s="30" t="n">
        <f aca="false">'Mobility &amp; Emissions'!$B$21*B368*F368</f>
        <v>77.271376562445</v>
      </c>
    </row>
    <row r="369" customFormat="false" ht="15" hidden="false" customHeight="true" outlineLevel="0" collapsed="false">
      <c r="A369" s="14" t="n">
        <v>365</v>
      </c>
      <c r="B369" s="47" t="n">
        <v>0.908508365486454</v>
      </c>
      <c r="C369" s="47" t="n">
        <v>1.09153950105849</v>
      </c>
      <c r="D369" s="47" t="n">
        <v>1.02640158766217</v>
      </c>
      <c r="E369" s="47" t="n">
        <v>0.971233924765576</v>
      </c>
      <c r="F369" s="47" t="n">
        <v>0.905113519212622</v>
      </c>
      <c r="G369" s="27" t="n">
        <f aca="false">'Visitor Economics'!$B$5*B369</f>
        <v>29253.9693686638</v>
      </c>
      <c r="H369" s="29" t="n">
        <f aca="false">MAX(0,'Visitor Economics'!$B$18*B369*C369*D369)</f>
        <v>736512.924043365</v>
      </c>
      <c r="I369" s="29" t="n">
        <f aca="false">H369*Controls!$B$52</f>
        <v>1045848.35214158</v>
      </c>
      <c r="J369" s="29" t="n">
        <f aca="false">'City Fiscal'!$B$5+(H369*Controls!$B$56*Controls!$B$55)+('City Fiscal'!$B$9*B369*F369)</f>
        <v>136985.053676504</v>
      </c>
      <c r="K369" s="29" t="n">
        <f aca="false">J369-('City Fiscal'!$B$13*E369)</f>
        <v>30149.3219522904</v>
      </c>
      <c r="L369" s="30" t="n">
        <f aca="false">'Mobility &amp; Emissions'!$B$21*B369*F369</f>
        <v>76.7469559372584</v>
      </c>
    </row>
    <row r="370" customFormat="false" ht="15" hidden="false" customHeight="true" outlineLevel="0" collapsed="false">
      <c r="A370" s="14" t="n">
        <v>366</v>
      </c>
      <c r="B370" s="47" t="n">
        <v>0.951152342087766</v>
      </c>
      <c r="C370" s="47" t="n">
        <v>0.905854528127525</v>
      </c>
      <c r="D370" s="47" t="n">
        <v>1.00556442566599</v>
      </c>
      <c r="E370" s="47" t="n">
        <v>0.894909945935103</v>
      </c>
      <c r="F370" s="47" t="n">
        <v>0.983238507947215</v>
      </c>
      <c r="G370" s="27" t="n">
        <f aca="false">'Visitor Economics'!$B$5*B370</f>
        <v>30627.1054152261</v>
      </c>
      <c r="H370" s="29" t="n">
        <f aca="false">MAX(0,'Visitor Economics'!$B$18*B370*C370*D370)</f>
        <v>626921.424167192</v>
      </c>
      <c r="I370" s="29" t="n">
        <f aca="false">H370*Controls!$B$52</f>
        <v>890228.422317412</v>
      </c>
      <c r="J370" s="29" t="n">
        <f aca="false">'City Fiscal'!$B$5+(H370*Controls!$B$56*Controls!$B$55)+('City Fiscal'!$B$9*B370*F370)</f>
        <v>148249.613017648</v>
      </c>
      <c r="K370" s="29" t="n">
        <f aca="false">J370-('City Fiscal'!$B$13*E370)</f>
        <v>49809.5189647866</v>
      </c>
      <c r="L370" s="30" t="n">
        <f aca="false">'Mobility &amp; Emissions'!$B$21*B370*F370</f>
        <v>87.2847027263591</v>
      </c>
    </row>
    <row r="371" customFormat="false" ht="15" hidden="false" customHeight="true" outlineLevel="0" collapsed="false">
      <c r="A371" s="14" t="n">
        <v>367</v>
      </c>
      <c r="B371" s="47" t="n">
        <v>0.971132833108518</v>
      </c>
      <c r="C371" s="47" t="n">
        <v>0.958553238865066</v>
      </c>
      <c r="D371" s="47" t="n">
        <v>0.891158895280585</v>
      </c>
      <c r="E371" s="47" t="n">
        <v>1.20081921106774</v>
      </c>
      <c r="F371" s="47" t="n">
        <v>0.864230249470758</v>
      </c>
      <c r="G371" s="27" t="n">
        <f aca="false">'Visitor Economics'!$B$5*B371</f>
        <v>31270.4772260943</v>
      </c>
      <c r="H371" s="29" t="n">
        <f aca="false">MAX(0,'Visitor Economics'!$B$18*B371*C371*D371)</f>
        <v>600267.309626011</v>
      </c>
      <c r="I371" s="29" t="n">
        <f aca="false">H371*Controls!$B$52</f>
        <v>852379.579668936</v>
      </c>
      <c r="J371" s="29" t="n">
        <f aca="false">'City Fiscal'!$B$5+(H371*Controls!$B$56*Controls!$B$55)+('City Fiscal'!$B$9*B371*F371)</f>
        <v>137902.971292072</v>
      </c>
      <c r="K371" s="29" t="n">
        <f aca="false">J371-('City Fiscal'!$B$13*E371)</f>
        <v>5812.85807462104</v>
      </c>
      <c r="L371" s="30" t="n">
        <f aca="false">'Mobility &amp; Emissions'!$B$21*B371*F371</f>
        <v>78.3316504306124</v>
      </c>
    </row>
    <row r="372" customFormat="false" ht="15" hidden="false" customHeight="true" outlineLevel="0" collapsed="false">
      <c r="A372" s="14" t="n">
        <v>368</v>
      </c>
      <c r="B372" s="47" t="n">
        <v>0.900269696931521</v>
      </c>
      <c r="C372" s="47" t="n">
        <v>0.964654761414894</v>
      </c>
      <c r="D372" s="47" t="n">
        <v>1.16499264737683</v>
      </c>
      <c r="E372" s="47" t="n">
        <v>1.12280428466336</v>
      </c>
      <c r="F372" s="47" t="n">
        <v>0.975409329796471</v>
      </c>
      <c r="G372" s="27" t="n">
        <f aca="false">'Visitor Economics'!$B$5*B372</f>
        <v>28988.684241195</v>
      </c>
      <c r="H372" s="29" t="n">
        <f aca="false">MAX(0,'Visitor Economics'!$B$18*B372*C372*D372)</f>
        <v>732086.499894981</v>
      </c>
      <c r="I372" s="29" t="n">
        <f aca="false">H372*Controls!$B$52</f>
        <v>1039562.82985087</v>
      </c>
      <c r="J372" s="29" t="n">
        <f aca="false">'City Fiscal'!$B$5+(H372*Controls!$B$56*Controls!$B$55)+('City Fiscal'!$B$9*B372*F372)</f>
        <v>142877.445685021</v>
      </c>
      <c r="K372" s="29" t="n">
        <f aca="false">J372-('City Fiscal'!$B$13*E372)</f>
        <v>19368.9743720509</v>
      </c>
      <c r="L372" s="30" t="n">
        <f aca="false">'Mobility &amp; Emissions'!$B$21*B372*F372</f>
        <v>81.9575021458169</v>
      </c>
    </row>
    <row r="373" customFormat="false" ht="15" hidden="false" customHeight="true" outlineLevel="0" collapsed="false">
      <c r="A373" s="14" t="n">
        <v>369</v>
      </c>
      <c r="B373" s="47" t="n">
        <v>0.98383371735995</v>
      </c>
      <c r="C373" s="47" t="n">
        <v>1.05866485509922</v>
      </c>
      <c r="D373" s="47" t="n">
        <v>0.988765658095387</v>
      </c>
      <c r="E373" s="47" t="n">
        <v>0.983765380957026</v>
      </c>
      <c r="F373" s="47" t="n">
        <v>1.08583225109138</v>
      </c>
      <c r="G373" s="27" t="n">
        <f aca="false">'Visitor Economics'!$B$5*B373</f>
        <v>31679.4456989904</v>
      </c>
      <c r="H373" s="29" t="n">
        <f aca="false">MAX(0,'Visitor Economics'!$B$18*B373*C373*D373)</f>
        <v>745192.0994641</v>
      </c>
      <c r="I373" s="29" t="n">
        <f aca="false">H373*Controls!$B$52</f>
        <v>1058172.78123902</v>
      </c>
      <c r="J373" s="29" t="n">
        <f aca="false">'City Fiscal'!$B$5+(H373*Controls!$B$56*Controls!$B$55)+('City Fiscal'!$B$9*B373*F373)</f>
        <v>163129.114441532</v>
      </c>
      <c r="K373" s="29" t="n">
        <f aca="false">J373-('City Fiscal'!$B$13*E373)</f>
        <v>54914.9225362595</v>
      </c>
      <c r="L373" s="30" t="n">
        <f aca="false">'Mobility &amp; Emissions'!$B$21*B373*F373</f>
        <v>99.7042372805644</v>
      </c>
    </row>
    <row r="374" customFormat="false" ht="15" hidden="false" customHeight="true" outlineLevel="0" collapsed="false">
      <c r="A374" s="14" t="n">
        <v>370</v>
      </c>
      <c r="B374" s="47" t="n">
        <v>0.935643613164148</v>
      </c>
      <c r="C374" s="47" t="n">
        <v>0.847</v>
      </c>
      <c r="D374" s="47" t="n">
        <v>1.15154315666242</v>
      </c>
      <c r="E374" s="47" t="n">
        <v>1.21804299763745</v>
      </c>
      <c r="F374" s="47" t="n">
        <v>1.02749489806543</v>
      </c>
      <c r="G374" s="27" t="n">
        <f aca="false">'Visitor Economics'!$B$5*B374</f>
        <v>30127.7243438856</v>
      </c>
      <c r="H374" s="29" t="n">
        <f aca="false">MAX(0,'Visitor Economics'!$B$18*B374*C374*D374)</f>
        <v>660341.749550281</v>
      </c>
      <c r="I374" s="29" t="n">
        <f aca="false">H374*Controls!$B$52</f>
        <v>937685.2843614</v>
      </c>
      <c r="J374" s="29" t="n">
        <f aca="false">'City Fiscal'!$B$5+(H374*Controls!$B$56*Controls!$B$55)+('City Fiscal'!$B$9*B374*F374)</f>
        <v>151240.613095092</v>
      </c>
      <c r="K374" s="29" t="n">
        <f aca="false">J374-('City Fiscal'!$B$13*E374)</f>
        <v>17255.8833549724</v>
      </c>
      <c r="L374" s="30" t="n">
        <f aca="false">'Mobility &amp; Emissions'!$B$21*B374*F374</f>
        <v>89.7262067310453</v>
      </c>
    </row>
    <row r="375" customFormat="false" ht="15" hidden="false" customHeight="true" outlineLevel="0" collapsed="false">
      <c r="A375" s="14" t="n">
        <v>371</v>
      </c>
      <c r="B375" s="47" t="n">
        <v>0.87947461987864</v>
      </c>
      <c r="C375" s="47" t="n">
        <v>0.944165212519449</v>
      </c>
      <c r="D375" s="47" t="n">
        <v>0.968187406592471</v>
      </c>
      <c r="E375" s="47" t="n">
        <v>0.932837493768694</v>
      </c>
      <c r="F375" s="47" t="n">
        <v>0.947095313996094</v>
      </c>
      <c r="G375" s="27" t="n">
        <f aca="false">'Visitor Economics'!$B$5*B375</f>
        <v>28319.0827600922</v>
      </c>
      <c r="H375" s="29" t="n">
        <f aca="false">MAX(0,'Visitor Economics'!$B$18*B375*C375*D375)</f>
        <v>581735.282674871</v>
      </c>
      <c r="I375" s="29" t="n">
        <f aca="false">H375*Controls!$B$52</f>
        <v>826064.101398316</v>
      </c>
      <c r="J375" s="29" t="n">
        <f aca="false">'City Fiscal'!$B$5+(H375*Controls!$B$56*Controls!$B$55)+('City Fiscal'!$B$9*B375*F375)</f>
        <v>137110.887100494</v>
      </c>
      <c r="K375" s="29" t="n">
        <f aca="false">J375-('City Fiscal'!$B$13*E375)</f>
        <v>34498.7627859376</v>
      </c>
      <c r="L375" s="30" t="n">
        <f aca="false">'Mobility &amp; Emissions'!$B$21*B375*F375</f>
        <v>77.7402933725095</v>
      </c>
    </row>
    <row r="376" customFormat="false" ht="15" hidden="false" customHeight="true" outlineLevel="0" collapsed="false">
      <c r="A376" s="14" t="n">
        <v>372</v>
      </c>
      <c r="B376" s="47" t="n">
        <v>0.966</v>
      </c>
      <c r="C376" s="47" t="n">
        <v>0.982582286858071</v>
      </c>
      <c r="D376" s="47" t="n">
        <v>0.831348807191599</v>
      </c>
      <c r="E376" s="47" t="n">
        <v>1.09779536800741</v>
      </c>
      <c r="F376" s="47" t="n">
        <v>1.00356742165761</v>
      </c>
      <c r="G376" s="27" t="n">
        <f aca="false">'Visitor Economics'!$B$5*B376</f>
        <v>31105.2</v>
      </c>
      <c r="H376" s="29" t="n">
        <f aca="false">MAX(0,'Visitor Economics'!$B$18*B376*C376*D376)</f>
        <v>570984.0868591</v>
      </c>
      <c r="I376" s="29" t="n">
        <f aca="false">H376*Controls!$B$52</f>
        <v>810797.403339923</v>
      </c>
      <c r="J376" s="29" t="n">
        <f aca="false">'City Fiscal'!$B$5+(H376*Controls!$B$56*Controls!$B$55)+('City Fiscal'!$B$9*B376*F376)</f>
        <v>151518.221550997</v>
      </c>
      <c r="K376" s="29" t="n">
        <f aca="false">J376-('City Fiscal'!$B$13*E376)</f>
        <v>30760.7310701821</v>
      </c>
      <c r="L376" s="30" t="n">
        <f aca="false">'Mobility &amp; Emissions'!$B$21*B376*F376</f>
        <v>90.4800553079722</v>
      </c>
    </row>
    <row r="377" customFormat="false" ht="15" hidden="false" customHeight="true" outlineLevel="0" collapsed="false">
      <c r="A377" s="14" t="n">
        <v>373</v>
      </c>
      <c r="B377" s="47" t="n">
        <v>0.86449852069711</v>
      </c>
      <c r="C377" s="47" t="n">
        <v>0.956590629253987</v>
      </c>
      <c r="D377" s="47" t="n">
        <v>1.03524723517496</v>
      </c>
      <c r="E377" s="47" t="n">
        <v>0.895936157395538</v>
      </c>
      <c r="F377" s="47" t="n">
        <v>0.992539468218455</v>
      </c>
      <c r="G377" s="27" t="n">
        <f aca="false">'Visitor Economics'!$B$5*B377</f>
        <v>27836.8523664469</v>
      </c>
      <c r="H377" s="29" t="n">
        <f aca="false">MAX(0,'Visitor Economics'!$B$18*B377*C377*D377)</f>
        <v>619482.618702446</v>
      </c>
      <c r="I377" s="29" t="n">
        <f aca="false">H377*Controls!$B$52</f>
        <v>879665.318557473</v>
      </c>
      <c r="J377" s="29" t="n">
        <f aca="false">'City Fiscal'!$B$5+(H377*Controls!$B$56*Controls!$B$55)+('City Fiscal'!$B$9*B377*F377)</f>
        <v>140017.84135507</v>
      </c>
      <c r="K377" s="29" t="n">
        <f aca="false">J377-('City Fiscal'!$B$13*E377)</f>
        <v>41464.8640415608</v>
      </c>
      <c r="L377" s="30" t="n">
        <f aca="false">'Mobility &amp; Emissions'!$B$21*B377*F377</f>
        <v>80.0831627075728</v>
      </c>
    </row>
    <row r="378" customFormat="false" ht="15" hidden="false" customHeight="true" outlineLevel="0" collapsed="false">
      <c r="A378" s="14" t="n">
        <v>374</v>
      </c>
      <c r="B378" s="47" t="n">
        <v>0.975773311225008</v>
      </c>
      <c r="C378" s="47" t="n">
        <v>1.02168418235096</v>
      </c>
      <c r="D378" s="47" t="n">
        <v>0.892545546335695</v>
      </c>
      <c r="E378" s="47" t="n">
        <v>0.919340324138791</v>
      </c>
      <c r="F378" s="47" t="n">
        <v>0.918902104467135</v>
      </c>
      <c r="G378" s="27" t="n">
        <f aca="false">'Visitor Economics'!$B$5*B378</f>
        <v>31419.9006214453</v>
      </c>
      <c r="H378" s="29" t="n">
        <f aca="false">MAX(0,'Visitor Economics'!$B$18*B378*C378*D378)</f>
        <v>643858.838679946</v>
      </c>
      <c r="I378" s="29" t="n">
        <f aca="false">H378*Controls!$B$52</f>
        <v>914279.550925523</v>
      </c>
      <c r="J378" s="29" t="n">
        <f aca="false">'City Fiscal'!$B$5+(H378*Controls!$B$56*Controls!$B$55)+('City Fiscal'!$B$9*B378*F378)</f>
        <v>144268.738695167</v>
      </c>
      <c r="K378" s="29" t="n">
        <f aca="false">J378-('City Fiscal'!$B$13*E378)</f>
        <v>43141.3030399003</v>
      </c>
      <c r="L378" s="30" t="n">
        <f aca="false">'Mobility &amp; Emissions'!$B$21*B378*F378</f>
        <v>83.6849494100587</v>
      </c>
    </row>
    <row r="379" customFormat="false" ht="15" hidden="false" customHeight="true" outlineLevel="0" collapsed="false">
      <c r="A379" s="14" t="n">
        <v>375</v>
      </c>
      <c r="B379" s="47" t="n">
        <v>0.815496478698598</v>
      </c>
      <c r="C379" s="47" t="n">
        <v>1.04375040983717</v>
      </c>
      <c r="D379" s="47" t="n">
        <v>1.11139534639847</v>
      </c>
      <c r="E379" s="47" t="n">
        <v>0.892280702818941</v>
      </c>
      <c r="F379" s="47" t="n">
        <v>1.06661834734188</v>
      </c>
      <c r="G379" s="27" t="n">
        <f aca="false">'Visitor Economics'!$B$5*B379</f>
        <v>26258.9866140949</v>
      </c>
      <c r="H379" s="29" t="n">
        <f aca="false">MAX(0,'Visitor Economics'!$B$18*B379*C379*D379)</f>
        <v>684513.460521968</v>
      </c>
      <c r="I379" s="29" t="n">
        <f aca="false">H379*Controls!$B$52</f>
        <v>972009.113941195</v>
      </c>
      <c r="J379" s="29" t="n">
        <f aca="false">'City Fiscal'!$B$5+(H379*Controls!$B$56*Controls!$B$55)+('City Fiscal'!$B$9*B379*F379)</f>
        <v>141688.04103068</v>
      </c>
      <c r="K379" s="29" t="n">
        <f aca="false">J379-('City Fiscal'!$B$13*E379)</f>
        <v>43537.1637205961</v>
      </c>
      <c r="L379" s="30" t="n">
        <f aca="false">'Mobility &amp; Emissions'!$B$21*B379*F379</f>
        <v>81.1821065497176</v>
      </c>
    </row>
    <row r="380" customFormat="false" ht="15" hidden="false" customHeight="true" outlineLevel="0" collapsed="false">
      <c r="A380" s="14" t="n">
        <v>376</v>
      </c>
      <c r="B380" s="47" t="n">
        <v>0.962138095434042</v>
      </c>
      <c r="C380" s="47" t="n">
        <v>1.06550229362625</v>
      </c>
      <c r="D380" s="47" t="n">
        <v>1.18820396452846</v>
      </c>
      <c r="E380" s="47" t="n">
        <v>0.986809172409673</v>
      </c>
      <c r="F380" s="47" t="n">
        <v>1.00280115489584</v>
      </c>
      <c r="G380" s="27" t="n">
        <f aca="false">'Visitor Economics'!$B$5*B380</f>
        <v>30980.8466729762</v>
      </c>
      <c r="H380" s="29" t="n">
        <f aca="false">MAX(0,'Visitor Economics'!$B$18*B380*C380*D380)</f>
        <v>881408.970635495</v>
      </c>
      <c r="I380" s="29" t="n">
        <f aca="false">H380*Controls!$B$52</f>
        <v>1251600.7383024</v>
      </c>
      <c r="J380" s="29" t="n">
        <f aca="false">'City Fiscal'!$B$5+(H380*Controls!$B$56*Controls!$B$55)+('City Fiscal'!$B$9*B380*F380)</f>
        <v>153040.5325665</v>
      </c>
      <c r="K380" s="29" t="n">
        <f aca="false">J380-('City Fiscal'!$B$13*E380)</f>
        <v>44491.523601436</v>
      </c>
      <c r="L380" s="30" t="n">
        <f aca="false">'Mobility &amp; Emissions'!$B$21*B380*F380</f>
        <v>90.0495221443682</v>
      </c>
    </row>
    <row r="381" customFormat="false" ht="15" hidden="false" customHeight="true" outlineLevel="0" collapsed="false">
      <c r="A381" s="14" t="n">
        <v>377</v>
      </c>
      <c r="B381" s="47" t="n">
        <v>0.970644149282988</v>
      </c>
      <c r="C381" s="47" t="n">
        <v>0.928871483869744</v>
      </c>
      <c r="D381" s="47" t="n">
        <v>0.855754207803923</v>
      </c>
      <c r="E381" s="47" t="n">
        <v>1.02895984527693</v>
      </c>
      <c r="F381" s="47" t="n">
        <v>1.04152189160941</v>
      </c>
      <c r="G381" s="27" t="n">
        <f aca="false">'Visitor Economics'!$B$5*B381</f>
        <v>31254.7416069122</v>
      </c>
      <c r="H381" s="29" t="n">
        <f aca="false">MAX(0,'Visitor Economics'!$B$18*B381*C381*D381)</f>
        <v>558289.402729681</v>
      </c>
      <c r="I381" s="29" t="n">
        <f aca="false">H381*Controls!$B$52</f>
        <v>792770.951876147</v>
      </c>
      <c r="J381" s="29" t="n">
        <f aca="false">'City Fiscal'!$B$5+(H381*Controls!$B$56*Controls!$B$55)+('City Fiscal'!$B$9*B381*F381)</f>
        <v>155837.504300329</v>
      </c>
      <c r="K381" s="29" t="n">
        <f aca="false">J381-('City Fiscal'!$B$13*E381)</f>
        <v>42651.9213198668</v>
      </c>
      <c r="L381" s="30" t="n">
        <f aca="false">'Mobility &amp; Emissions'!$B$21*B381*F381</f>
        <v>94.3534142941639</v>
      </c>
    </row>
    <row r="382" customFormat="false" ht="15" hidden="false" customHeight="true" outlineLevel="0" collapsed="false">
      <c r="A382" s="14" t="n">
        <v>378</v>
      </c>
      <c r="B382" s="47" t="n">
        <v>0.844936892441816</v>
      </c>
      <c r="C382" s="47" t="n">
        <v>0.898974679486529</v>
      </c>
      <c r="D382" s="47" t="n">
        <v>0.996306495510422</v>
      </c>
      <c r="E382" s="47" t="n">
        <v>0.981144965791675</v>
      </c>
      <c r="F382" s="47" t="n">
        <v>1.04007957423663</v>
      </c>
      <c r="G382" s="27" t="n">
        <f aca="false">'Visitor Economics'!$B$5*B382</f>
        <v>27206.9679366265</v>
      </c>
      <c r="H382" s="29" t="n">
        <f aca="false">MAX(0,'Visitor Economics'!$B$18*B382*C382*D382)</f>
        <v>547594.861282702</v>
      </c>
      <c r="I382" s="29" t="n">
        <f aca="false">H382*Controls!$B$52</f>
        <v>777584.703021436</v>
      </c>
      <c r="J382" s="29" t="n">
        <f aca="false">'City Fiscal'!$B$5+(H382*Controls!$B$56*Controls!$B$55)+('City Fiscal'!$B$9*B382*F382)</f>
        <v>141753.014250165</v>
      </c>
      <c r="K382" s="29" t="n">
        <f aca="false">J382-('City Fiscal'!$B$13*E382)</f>
        <v>33827.0680130811</v>
      </c>
      <c r="L382" s="30" t="n">
        <f aca="false">'Mobility &amp; Emissions'!$B$21*B382*F382</f>
        <v>82.020047603167</v>
      </c>
    </row>
    <row r="383" customFormat="false" ht="15" hidden="false" customHeight="true" outlineLevel="0" collapsed="false">
      <c r="A383" s="14" t="n">
        <v>379</v>
      </c>
      <c r="B383" s="47" t="n">
        <v>0.808099822063494</v>
      </c>
      <c r="C383" s="47" t="n">
        <v>1.00735009986689</v>
      </c>
      <c r="D383" s="47" t="n">
        <v>0.900101207321159</v>
      </c>
      <c r="E383" s="47" t="n">
        <v>1.14974407748168</v>
      </c>
      <c r="F383" s="47" t="n">
        <v>0.920196153740786</v>
      </c>
      <c r="G383" s="27" t="n">
        <f aca="false">'Visitor Economics'!$B$5*B383</f>
        <v>26020.8142704445</v>
      </c>
      <c r="H383" s="29" t="n">
        <f aca="false">MAX(0,'Visitor Economics'!$B$18*B383*C383*D383)</f>
        <v>530189.910372609</v>
      </c>
      <c r="I383" s="29" t="n">
        <f aca="false">H383*Controls!$B$52</f>
        <v>752869.672729105</v>
      </c>
      <c r="J383" s="29" t="n">
        <f aca="false">'City Fiscal'!$B$5+(H383*Controls!$B$56*Controls!$B$55)+('City Fiscal'!$B$9*B383*F383)</f>
        <v>127302.014625918</v>
      </c>
      <c r="K383" s="29" t="n">
        <f aca="false">J383-('City Fiscal'!$B$13*E383)</f>
        <v>830.166102933377</v>
      </c>
      <c r="L383" s="30" t="n">
        <f aca="false">'Mobility &amp; Emissions'!$B$21*B383*F383</f>
        <v>69.4024179258992</v>
      </c>
    </row>
    <row r="384" customFormat="false" ht="15" hidden="false" customHeight="true" outlineLevel="0" collapsed="false">
      <c r="A384" s="14" t="n">
        <v>380</v>
      </c>
      <c r="B384" s="47" t="n">
        <v>0.957935517403268</v>
      </c>
      <c r="C384" s="47" t="n">
        <v>0.907721149103281</v>
      </c>
      <c r="D384" s="47" t="n">
        <v>0.971995052019577</v>
      </c>
      <c r="E384" s="47" t="n">
        <v>1.03017905013398</v>
      </c>
      <c r="F384" s="47" t="n">
        <v>1.01309674949074</v>
      </c>
      <c r="G384" s="27" t="n">
        <f aca="false">'Visitor Economics'!$B$5*B384</f>
        <v>30845.5236603852</v>
      </c>
      <c r="H384" s="29" t="n">
        <f aca="false">MAX(0,'Visitor Economics'!$B$18*B384*C384*D384)</f>
        <v>611571.803198509</v>
      </c>
      <c r="I384" s="29" t="n">
        <f aca="false">H384*Controls!$B$52</f>
        <v>868431.960541883</v>
      </c>
      <c r="J384" s="29" t="n">
        <f aca="false">'City Fiscal'!$B$5+(H384*Controls!$B$56*Controls!$B$55)+('City Fiscal'!$B$9*B384*F384)</f>
        <v>151891.025108278</v>
      </c>
      <c r="K384" s="29" t="n">
        <f aca="false">J384-('City Fiscal'!$B$13*E384)</f>
        <v>38571.3295935401</v>
      </c>
      <c r="L384" s="30" t="n">
        <f aca="false">'Mobility &amp; Emissions'!$B$21*B384*F384</f>
        <v>90.5766750447254</v>
      </c>
    </row>
    <row r="385" customFormat="false" ht="15" hidden="false" customHeight="true" outlineLevel="0" collapsed="false">
      <c r="A385" s="14" t="n">
        <v>381</v>
      </c>
      <c r="B385" s="47" t="n">
        <v>0.996251315825924</v>
      </c>
      <c r="C385" s="47" t="n">
        <v>1.02637308079404</v>
      </c>
      <c r="D385" s="47" t="n">
        <v>0.995588264986757</v>
      </c>
      <c r="E385" s="47" t="n">
        <v>1.09430398206762</v>
      </c>
      <c r="F385" s="47" t="n">
        <v>0.982391464981697</v>
      </c>
      <c r="G385" s="27" t="n">
        <f aca="false">'Visitor Economics'!$B$5*B385</f>
        <v>32079.2923695948</v>
      </c>
      <c r="H385" s="29" t="n">
        <f aca="false">MAX(0,'Visitor Economics'!$B$18*B385*C385*D385)</f>
        <v>736628.639013885</v>
      </c>
      <c r="I385" s="29" t="n">
        <f aca="false">H385*Controls!$B$52</f>
        <v>1046012.66739972</v>
      </c>
      <c r="J385" s="29" t="n">
        <f aca="false">'City Fiscal'!$B$5+(H385*Controls!$B$56*Controls!$B$55)+('City Fiscal'!$B$9*B385*F385)</f>
        <v>153573.984424484</v>
      </c>
      <c r="K385" s="29" t="n">
        <f aca="false">J385-('City Fiscal'!$B$13*E385)</f>
        <v>33200.5463970457</v>
      </c>
      <c r="L385" s="30" t="n">
        <f aca="false">'Mobility &amp; Emissions'!$B$21*B385*F385</f>
        <v>91.3445551424331</v>
      </c>
    </row>
    <row r="386" customFormat="false" ht="15" hidden="false" customHeight="true" outlineLevel="0" collapsed="false">
      <c r="A386" s="14" t="n">
        <v>382</v>
      </c>
      <c r="B386" s="47" t="n">
        <v>0.83839863012092</v>
      </c>
      <c r="C386" s="47" t="n">
        <v>0.920891030324802</v>
      </c>
      <c r="D386" s="47" t="n">
        <v>1.07843732923506</v>
      </c>
      <c r="E386" s="47" t="n">
        <v>1.12029360077467</v>
      </c>
      <c r="F386" s="47" t="n">
        <v>0.986409310532676</v>
      </c>
      <c r="G386" s="27" t="n">
        <f aca="false">'Visitor Economics'!$B$5*B386</f>
        <v>26996.4358898936</v>
      </c>
      <c r="H386" s="29" t="n">
        <f aca="false">MAX(0,'Visitor Economics'!$B$18*B386*C386*D386)</f>
        <v>602487.976920105</v>
      </c>
      <c r="I386" s="29" t="n">
        <f aca="false">H386*Controls!$B$52</f>
        <v>855532.927226549</v>
      </c>
      <c r="J386" s="29" t="n">
        <f aca="false">'City Fiscal'!$B$5+(H386*Controls!$B$56*Controls!$B$55)+('City Fiscal'!$B$9*B386*F386)</f>
        <v>136615.155345102</v>
      </c>
      <c r="K386" s="29" t="n">
        <f aca="false">J386-('City Fiscal'!$B$13*E386)</f>
        <v>13382.8592598879</v>
      </c>
      <c r="L386" s="30" t="n">
        <f aca="false">'Mobility &amp; Emissions'!$B$21*B386*F386</f>
        <v>77.1857092641003</v>
      </c>
    </row>
    <row r="387" customFormat="false" ht="15" hidden="false" customHeight="true" outlineLevel="0" collapsed="false">
      <c r="A387" s="14" t="n">
        <v>383</v>
      </c>
      <c r="B387" s="47" t="n">
        <v>0.842296067291604</v>
      </c>
      <c r="C387" s="47" t="n">
        <v>0.969067098985658</v>
      </c>
      <c r="D387" s="47" t="n">
        <v>0.948780034364258</v>
      </c>
      <c r="E387" s="47" t="n">
        <v>0.881269078661263</v>
      </c>
      <c r="F387" s="47" t="n">
        <v>1.00573461953747</v>
      </c>
      <c r="G387" s="27" t="n">
        <f aca="false">'Visitor Economics'!$B$5*B387</f>
        <v>27121.9333667897</v>
      </c>
      <c r="H387" s="29" t="n">
        <f aca="false">MAX(0,'Visitor Economics'!$B$18*B387*C387*D387)</f>
        <v>560375.098957401</v>
      </c>
      <c r="I387" s="29" t="n">
        <f aca="false">H387*Controls!$B$52</f>
        <v>795732.640519509</v>
      </c>
      <c r="J387" s="29" t="n">
        <f aca="false">'City Fiscal'!$B$5+(H387*Controls!$B$56*Controls!$B$55)+('City Fiscal'!$B$9*B387*F387)</f>
        <v>138476.388678432</v>
      </c>
      <c r="K387" s="29" t="n">
        <f aca="false">J387-('City Fiscal'!$B$13*E387)</f>
        <v>41536.7900256935</v>
      </c>
      <c r="L387" s="30" t="n">
        <f aca="false">'Mobility &amp; Emissions'!$B$21*B387*F387</f>
        <v>79.0637390727259</v>
      </c>
    </row>
    <row r="388" customFormat="false" ht="15" hidden="false" customHeight="true" outlineLevel="0" collapsed="false">
      <c r="A388" s="14" t="n">
        <v>384</v>
      </c>
      <c r="B388" s="47" t="n">
        <v>0.900966110956747</v>
      </c>
      <c r="C388" s="47" t="n">
        <v>1.00404311145947</v>
      </c>
      <c r="D388" s="47" t="n">
        <v>0.883449987916867</v>
      </c>
      <c r="E388" s="47" t="n">
        <v>0.984001524383159</v>
      </c>
      <c r="F388" s="47" t="n">
        <v>0.991111657916701</v>
      </c>
      <c r="G388" s="27" t="n">
        <f aca="false">'Visitor Economics'!$B$5*B388</f>
        <v>29011.1087728073</v>
      </c>
      <c r="H388" s="29" t="n">
        <f aca="false">MAX(0,'Visitor Economics'!$B$18*B388*C388*D388)</f>
        <v>578279.045184612</v>
      </c>
      <c r="I388" s="29" t="n">
        <f aca="false">H388*Controls!$B$52</f>
        <v>821156.244162149</v>
      </c>
      <c r="J388" s="29" t="n">
        <f aca="false">'City Fiscal'!$B$5+(H388*Controls!$B$56*Controls!$B$55)+('City Fiscal'!$B$9*B388*F388)</f>
        <v>143453.259187687</v>
      </c>
      <c r="K388" s="29" t="n">
        <f aca="false">J388-('City Fiscal'!$B$13*E388)</f>
        <v>35213.0915055393</v>
      </c>
      <c r="L388" s="30" t="n">
        <f aca="false">'Mobility &amp; Emissions'!$B$21*B388*F388</f>
        <v>83.3412896579036</v>
      </c>
    </row>
    <row r="389" customFormat="false" ht="15" hidden="false" customHeight="true" outlineLevel="0" collapsed="false">
      <c r="A389" s="14" t="n">
        <v>385</v>
      </c>
      <c r="B389" s="47" t="n">
        <v>0.985532624120772</v>
      </c>
      <c r="C389" s="47" t="n">
        <v>1.06015018797022</v>
      </c>
      <c r="D389" s="47" t="n">
        <v>0.886406296806157</v>
      </c>
      <c r="E389" s="47" t="n">
        <v>1.197643052037</v>
      </c>
      <c r="F389" s="47" t="n">
        <v>1.04028445871254</v>
      </c>
      <c r="G389" s="27" t="n">
        <f aca="false">'Visitor Economics'!$B$5*B389</f>
        <v>31734.1504966889</v>
      </c>
      <c r="H389" s="29" t="n">
        <f aca="false">MAX(0,'Visitor Economics'!$B$18*B389*C389*D389)</f>
        <v>670140.55667659</v>
      </c>
      <c r="I389" s="29" t="n">
        <f aca="false">H389*Controls!$B$52</f>
        <v>951599.590480757</v>
      </c>
      <c r="J389" s="29" t="n">
        <f aca="false">'City Fiscal'!$B$5+(H389*Controls!$B$56*Controls!$B$55)+('City Fiscal'!$B$9*B389*F389)</f>
        <v>158077.576198034</v>
      </c>
      <c r="K389" s="29" t="n">
        <f aca="false">J389-('City Fiscal'!$B$13*E389)</f>
        <v>26336.8404739642</v>
      </c>
      <c r="L389" s="30" t="n">
        <f aca="false">'Mobility &amp; Emissions'!$B$21*B389*F389</f>
        <v>95.6868575438775</v>
      </c>
    </row>
    <row r="390" customFormat="false" ht="15" hidden="false" customHeight="true" outlineLevel="0" collapsed="false">
      <c r="A390" s="14" t="n">
        <v>386</v>
      </c>
      <c r="B390" s="47" t="n">
        <v>0.843630181517893</v>
      </c>
      <c r="C390" s="47" t="n">
        <v>0.898632054532487</v>
      </c>
      <c r="D390" s="47" t="n">
        <v>0.991227602362949</v>
      </c>
      <c r="E390" s="47" t="n">
        <v>0.922786672287802</v>
      </c>
      <c r="F390" s="47" t="n">
        <v>0.895743852045931</v>
      </c>
      <c r="G390" s="27" t="n">
        <f aca="false">'Visitor Economics'!$B$5*B390</f>
        <v>27164.8918448762</v>
      </c>
      <c r="H390" s="29" t="n">
        <f aca="false">MAX(0,'Visitor Economics'!$B$18*B390*C390*D390)</f>
        <v>543753.507354558</v>
      </c>
      <c r="I390" s="29" t="n">
        <f aca="false">H390*Controls!$B$52</f>
        <v>772129.980443473</v>
      </c>
      <c r="J390" s="29" t="n">
        <f aca="false">'City Fiscal'!$B$5+(H390*Controls!$B$56*Controls!$B$55)+('City Fiscal'!$B$9*B390*F390)</f>
        <v>128669.632865356</v>
      </c>
      <c r="K390" s="29" t="n">
        <f aca="false">J390-('City Fiscal'!$B$13*E390)</f>
        <v>27163.0989136982</v>
      </c>
      <c r="L390" s="30" t="n">
        <f aca="false">'Mobility &amp; Emissions'!$B$21*B390*F390</f>
        <v>70.528576921175</v>
      </c>
    </row>
    <row r="391" customFormat="false" ht="15" hidden="false" customHeight="true" outlineLevel="0" collapsed="false">
      <c r="A391" s="14" t="n">
        <v>387</v>
      </c>
      <c r="B391" s="47" t="n">
        <v>0.893662658775871</v>
      </c>
      <c r="C391" s="47" t="n">
        <v>1.0146149915785</v>
      </c>
      <c r="D391" s="47" t="n">
        <v>1.01890748605807</v>
      </c>
      <c r="E391" s="47" t="n">
        <v>1.00607121941026</v>
      </c>
      <c r="F391" s="47" t="n">
        <v>1.00952758277868</v>
      </c>
      <c r="G391" s="27" t="n">
        <f aca="false">'Visitor Economics'!$B$5*B391</f>
        <v>28775.937612583</v>
      </c>
      <c r="H391" s="29" t="n">
        <f aca="false">MAX(0,'Visitor Economics'!$B$18*B391*C391*D391)</f>
        <v>668504.46022071</v>
      </c>
      <c r="I391" s="29" t="n">
        <f aca="false">H391*Controls!$B$52</f>
        <v>949276.333513408</v>
      </c>
      <c r="J391" s="29" t="n">
        <f aca="false">'City Fiscal'!$B$5+(H391*Controls!$B$56*Controls!$B$55)+('City Fiscal'!$B$9*B391*F391)</f>
        <v>145015.684802833</v>
      </c>
      <c r="K391" s="29" t="n">
        <f aca="false">J391-('City Fiscal'!$B$13*E391)</f>
        <v>34347.8506677048</v>
      </c>
      <c r="L391" s="30" t="n">
        <f aca="false">'Mobility &amp; Emissions'!$B$21*B391*F391</f>
        <v>84.2017227925308</v>
      </c>
    </row>
    <row r="392" customFormat="false" ht="15" hidden="false" customHeight="true" outlineLevel="0" collapsed="false">
      <c r="A392" s="14" t="n">
        <v>388</v>
      </c>
      <c r="B392" s="47" t="n">
        <v>0.819949968710876</v>
      </c>
      <c r="C392" s="47" t="n">
        <v>0.989732141917788</v>
      </c>
      <c r="D392" s="47" t="n">
        <v>1.18541478497365</v>
      </c>
      <c r="E392" s="47" t="n">
        <v>0.927209607778408</v>
      </c>
      <c r="F392" s="47" t="n">
        <v>0.981367804274868</v>
      </c>
      <c r="G392" s="27" t="n">
        <f aca="false">'Visitor Economics'!$B$5*B392</f>
        <v>26402.3889924902</v>
      </c>
      <c r="H392" s="29" t="n">
        <f aca="false">MAX(0,'Visitor Economics'!$B$18*B392*C392*D392)</f>
        <v>696097.440991347</v>
      </c>
      <c r="I392" s="29" t="n">
        <f aca="false">H392*Controls!$B$52</f>
        <v>988458.366207713</v>
      </c>
      <c r="J392" s="29" t="n">
        <f aca="false">'City Fiscal'!$B$5+(H392*Controls!$B$56*Controls!$B$55)+('City Fiscal'!$B$9*B392*F392)</f>
        <v>134853.270970381</v>
      </c>
      <c r="K392" s="29" t="n">
        <f aca="false">J392-('City Fiscal'!$B$13*E392)</f>
        <v>32860.2141147562</v>
      </c>
      <c r="L392" s="30" t="n">
        <f aca="false">'Mobility &amp; Emissions'!$B$21*B392*F392</f>
        <v>75.1014524064263</v>
      </c>
    </row>
    <row r="393" customFormat="false" ht="15" hidden="false" customHeight="true" outlineLevel="0" collapsed="false">
      <c r="A393" s="14" t="n">
        <v>389</v>
      </c>
      <c r="B393" s="47" t="n">
        <v>0.855910473585665</v>
      </c>
      <c r="C393" s="47" t="n">
        <v>0.885520989003525</v>
      </c>
      <c r="D393" s="47" t="n">
        <v>1.00749484541561</v>
      </c>
      <c r="E393" s="47" t="n">
        <v>1.13713392892459</v>
      </c>
      <c r="F393" s="47" t="n">
        <v>0.927217226057403</v>
      </c>
      <c r="G393" s="27" t="n">
        <f aca="false">'Visitor Economics'!$B$5*B393</f>
        <v>27560.3172494584</v>
      </c>
      <c r="H393" s="29" t="n">
        <f aca="false">MAX(0,'Visitor Economics'!$B$18*B393*C393*D393)</f>
        <v>552541.24598159</v>
      </c>
      <c r="I393" s="29" t="n">
        <f aca="false">H393*Controls!$B$52</f>
        <v>784608.569293857</v>
      </c>
      <c r="J393" s="29" t="n">
        <f aca="false">'City Fiscal'!$B$5+(H393*Controls!$B$56*Controls!$B$55)+('City Fiscal'!$B$9*B393*F393)</f>
        <v>132750.275268983</v>
      </c>
      <c r="K393" s="29" t="n">
        <f aca="false">J393-('City Fiscal'!$B$13*E393)</f>
        <v>7665.54308727857</v>
      </c>
      <c r="L393" s="30" t="n">
        <f aca="false">'Mobility &amp; Emissions'!$B$21*B393*F393</f>
        <v>74.06943103562</v>
      </c>
    </row>
    <row r="394" customFormat="false" ht="15" hidden="false" customHeight="true" outlineLevel="0" collapsed="false">
      <c r="A394" s="14" t="n">
        <v>390</v>
      </c>
      <c r="B394" s="47" t="n">
        <v>0.883286010669403</v>
      </c>
      <c r="C394" s="47" t="n">
        <v>0.896544104933038</v>
      </c>
      <c r="D394" s="47" t="n">
        <v>0.933036270210692</v>
      </c>
      <c r="E394" s="47" t="n">
        <v>1.02534192647492</v>
      </c>
      <c r="F394" s="47" t="n">
        <v>1.05084103671377</v>
      </c>
      <c r="G394" s="27" t="n">
        <f aca="false">'Visitor Economics'!$B$5*B394</f>
        <v>28441.8095435548</v>
      </c>
      <c r="H394" s="29" t="n">
        <f aca="false">MAX(0,'Visitor Economics'!$B$18*B394*C394*D394)</f>
        <v>534645.859201408</v>
      </c>
      <c r="I394" s="29" t="n">
        <f aca="false">H394*Controls!$B$52</f>
        <v>759197.120065999</v>
      </c>
      <c r="J394" s="29" t="n">
        <f aca="false">'City Fiscal'!$B$5+(H394*Controls!$B$56*Controls!$B$55)+('City Fiscal'!$B$9*B394*F394)</f>
        <v>146907.514357031</v>
      </c>
      <c r="K394" s="29" t="n">
        <f aca="false">J394-('City Fiscal'!$B$13*E394)</f>
        <v>34119.9024447902</v>
      </c>
      <c r="L394" s="30" t="n">
        <f aca="false">'Mobility &amp; Emissions'!$B$21*B394*F394</f>
        <v>86.6298480866775</v>
      </c>
    </row>
    <row r="395" customFormat="false" ht="15" hidden="false" customHeight="true" outlineLevel="0" collapsed="false">
      <c r="A395" s="14" t="n">
        <v>391</v>
      </c>
      <c r="B395" s="47" t="n">
        <v>0.884418389185047</v>
      </c>
      <c r="C395" s="47" t="n">
        <v>0.938376517941693</v>
      </c>
      <c r="D395" s="47" t="n">
        <v>0.915475089961218</v>
      </c>
      <c r="E395" s="47" t="n">
        <v>0.93317994521999</v>
      </c>
      <c r="F395" s="47" t="n">
        <v>1.00112925069041</v>
      </c>
      <c r="G395" s="27" t="n">
        <f aca="false">'Visitor Economics'!$B$5*B395</f>
        <v>28478.2721317585</v>
      </c>
      <c r="H395" s="29" t="n">
        <f aca="false">MAX(0,'Visitor Economics'!$B$18*B395*C395*D395)</f>
        <v>549763.745520835</v>
      </c>
      <c r="I395" s="29" t="n">
        <f aca="false">H395*Controls!$B$52</f>
        <v>780664.518639586</v>
      </c>
      <c r="J395" s="29" t="n">
        <f aca="false">'City Fiscal'!$B$5+(H395*Controls!$B$56*Controls!$B$55)+('City Fiscal'!$B$9*B395*F395)</f>
        <v>142468.701968466</v>
      </c>
      <c r="K395" s="29" t="n">
        <f aca="false">J395-('City Fiscal'!$B$13*E395)</f>
        <v>39818.9079942672</v>
      </c>
      <c r="L395" s="30" t="n">
        <f aca="false">'Mobility &amp; Emissions'!$B$21*B395*F395</f>
        <v>82.6374849497921</v>
      </c>
    </row>
    <row r="396" customFormat="false" ht="15" hidden="false" customHeight="true" outlineLevel="0" collapsed="false">
      <c r="A396" s="14" t="n">
        <v>392</v>
      </c>
      <c r="B396" s="47" t="n">
        <v>0.966446288644017</v>
      </c>
      <c r="C396" s="47" t="n">
        <v>1.05636038969321</v>
      </c>
      <c r="D396" s="47" t="n">
        <v>0.844712440844091</v>
      </c>
      <c r="E396" s="47" t="n">
        <v>1.00850724648553</v>
      </c>
      <c r="F396" s="47" t="n">
        <v>1.03468521343731</v>
      </c>
      <c r="G396" s="27" t="n">
        <f aca="false">'Visitor Economics'!$B$5*B396</f>
        <v>31119.5704943374</v>
      </c>
      <c r="H396" s="29" t="n">
        <f aca="false">MAX(0,'Visitor Economics'!$B$18*B396*C396*D396)</f>
        <v>624012.645664829</v>
      </c>
      <c r="I396" s="29" t="n">
        <f aca="false">H396*Controls!$B$52</f>
        <v>886097.956844057</v>
      </c>
      <c r="J396" s="29" t="n">
        <f aca="false">'City Fiscal'!$B$5+(H396*Controls!$B$56*Controls!$B$55)+('City Fiscal'!$B$9*B396*F396)</f>
        <v>155098.92459615</v>
      </c>
      <c r="K396" s="29" t="n">
        <f aca="false">J396-('City Fiscal'!$B$13*E396)</f>
        <v>44163.1274827418</v>
      </c>
      <c r="L396" s="30" t="n">
        <f aca="false">'Mobility &amp; Emissions'!$B$21*B396*F396</f>
        <v>93.328683933973</v>
      </c>
    </row>
    <row r="397" customFormat="false" ht="15" hidden="false" customHeight="true" outlineLevel="0" collapsed="false">
      <c r="A397" s="14" t="n">
        <v>393</v>
      </c>
      <c r="B397" s="47" t="n">
        <v>0.874093570449845</v>
      </c>
      <c r="C397" s="47" t="n">
        <v>0.986844238737812</v>
      </c>
      <c r="D397" s="47" t="n">
        <v>1.12569694291772</v>
      </c>
      <c r="E397" s="47" t="n">
        <v>1.05286743039264</v>
      </c>
      <c r="F397" s="47" t="n">
        <v>1.00341384785731</v>
      </c>
      <c r="G397" s="27" t="n">
        <f aca="false">'Visitor Economics'!$B$5*B397</f>
        <v>28145.812968485</v>
      </c>
      <c r="H397" s="29" t="n">
        <f aca="false">MAX(0,'Visitor Economics'!$B$18*B397*C397*D397)</f>
        <v>702623.533691963</v>
      </c>
      <c r="I397" s="29" t="n">
        <f aca="false">H397*Controls!$B$52</f>
        <v>997725.417842587</v>
      </c>
      <c r="J397" s="29" t="n">
        <f aca="false">'City Fiscal'!$B$5+(H397*Controls!$B$56*Controls!$B$55)+('City Fiscal'!$B$9*B397*F397)</f>
        <v>142574.753655623</v>
      </c>
      <c r="K397" s="29" t="n">
        <f aca="false">J397-('City Fiscal'!$B$13*E397)</f>
        <v>26759.336312433</v>
      </c>
      <c r="L397" s="30" t="n">
        <f aca="false">'Mobility &amp; Emissions'!$B$21*B397*F397</f>
        <v>81.8591427784235</v>
      </c>
    </row>
    <row r="398" customFormat="false" ht="15" hidden="false" customHeight="true" outlineLevel="0" collapsed="false">
      <c r="A398" s="14" t="n">
        <v>394</v>
      </c>
      <c r="B398" s="47" t="n">
        <v>0.849919954233395</v>
      </c>
      <c r="C398" s="47" t="n">
        <v>0.918726896031426</v>
      </c>
      <c r="D398" s="47" t="n">
        <v>0.984764987241472</v>
      </c>
      <c r="E398" s="47" t="n">
        <v>0.973771583850853</v>
      </c>
      <c r="F398" s="47" t="n">
        <v>0.966286284659886</v>
      </c>
      <c r="G398" s="27" t="n">
        <f aca="false">'Visitor Economics'!$B$5*B398</f>
        <v>27367.4225263153</v>
      </c>
      <c r="H398" s="29" t="n">
        <f aca="false">MAX(0,'Visitor Economics'!$B$18*B398*C398*D398)</f>
        <v>556405.898043191</v>
      </c>
      <c r="I398" s="29" t="n">
        <f aca="false">H398*Controls!$B$52</f>
        <v>790096.37522133</v>
      </c>
      <c r="J398" s="29" t="n">
        <f aca="false">'City Fiscal'!$B$5+(H398*Controls!$B$56*Controls!$B$55)+('City Fiscal'!$B$9*B398*F398)</f>
        <v>135707.955048972</v>
      </c>
      <c r="K398" s="29" t="n">
        <f aca="false">J398-('City Fiscal'!$B$13*E398)</f>
        <v>28593.0808253783</v>
      </c>
      <c r="L398" s="30" t="n">
        <f aca="false">'Mobility &amp; Emissions'!$B$21*B398*F398</f>
        <v>76.650151450094</v>
      </c>
    </row>
    <row r="399" customFormat="false" ht="15" hidden="false" customHeight="true" outlineLevel="0" collapsed="false">
      <c r="A399" s="14" t="n">
        <v>395</v>
      </c>
      <c r="B399" s="47" t="n">
        <v>0.818230877572978</v>
      </c>
      <c r="C399" s="47" t="n">
        <v>0.912806249789548</v>
      </c>
      <c r="D399" s="47" t="n">
        <v>0.827149761399184</v>
      </c>
      <c r="E399" s="47" t="n">
        <v>1.10764920091549</v>
      </c>
      <c r="F399" s="47" t="n">
        <v>1.04881946827576</v>
      </c>
      <c r="G399" s="27" t="n">
        <f aca="false">'Visitor Economics'!$B$5*B399</f>
        <v>26347.0342578499</v>
      </c>
      <c r="H399" s="29" t="n">
        <f aca="false">MAX(0,'Visitor Economics'!$B$18*B399*C399*D399)</f>
        <v>447026.519164025</v>
      </c>
      <c r="I399" s="29" t="n">
        <f aca="false">H399*Controls!$B$52</f>
        <v>634777.657212916</v>
      </c>
      <c r="J399" s="29" t="n">
        <f aca="false">'City Fiscal'!$B$5+(H399*Controls!$B$56*Controls!$B$55)+('City Fiscal'!$B$9*B399*F399)</f>
        <v>138913.855949974</v>
      </c>
      <c r="K399" s="29" t="n">
        <f aca="false">J399-('City Fiscal'!$B$13*E399)</f>
        <v>17072.4438492704</v>
      </c>
      <c r="L399" s="30" t="n">
        <f aca="false">'Mobility &amp; Emissions'!$B$21*B399*F399</f>
        <v>80.0950692130965</v>
      </c>
    </row>
    <row r="400" customFormat="false" ht="15" hidden="false" customHeight="true" outlineLevel="0" collapsed="false">
      <c r="A400" s="14" t="n">
        <v>396</v>
      </c>
      <c r="B400" s="47" t="n">
        <v>0.910196774153587</v>
      </c>
      <c r="C400" s="47" t="n">
        <v>0.948860389569487</v>
      </c>
      <c r="D400" s="47" t="n">
        <v>0.903914890146423</v>
      </c>
      <c r="E400" s="47" t="n">
        <v>0.965229129309516</v>
      </c>
      <c r="F400" s="47" t="n">
        <v>1.02934553468686</v>
      </c>
      <c r="G400" s="27" t="n">
        <f aca="false">'Visitor Economics'!$B$5*B400</f>
        <v>29308.3361277455</v>
      </c>
      <c r="H400" s="29" t="n">
        <f aca="false">MAX(0,'Visitor Economics'!$B$18*B400*C400*D400)</f>
        <v>564884.709666712</v>
      </c>
      <c r="I400" s="29" t="n">
        <f aca="false">H400*Controls!$B$52</f>
        <v>802136.28772673</v>
      </c>
      <c r="J400" s="29" t="n">
        <f aca="false">'City Fiscal'!$B$5+(H400*Controls!$B$56*Controls!$B$55)+('City Fiscal'!$B$9*B400*F400)</f>
        <v>148027.636631125</v>
      </c>
      <c r="K400" s="29" t="n">
        <f aca="false">J400-('City Fiscal'!$B$13*E400)</f>
        <v>41852.432407078</v>
      </c>
      <c r="L400" s="30" t="n">
        <f aca="false">'Mobility &amp; Emissions'!$B$21*B400*F400</f>
        <v>87.4431216669863</v>
      </c>
    </row>
    <row r="401" customFormat="false" ht="15" hidden="false" customHeight="true" outlineLevel="0" collapsed="false">
      <c r="A401" s="14" t="n">
        <v>397</v>
      </c>
      <c r="B401" s="47" t="n">
        <v>0.833911037830856</v>
      </c>
      <c r="C401" s="47" t="n">
        <v>1.02522658600641</v>
      </c>
      <c r="D401" s="47" t="n">
        <v>1.04107118437133</v>
      </c>
      <c r="E401" s="47" t="n">
        <v>0.997814228901964</v>
      </c>
      <c r="F401" s="47" t="n">
        <v>1.03527206094416</v>
      </c>
      <c r="G401" s="27" t="n">
        <f aca="false">'Visitor Economics'!$B$5*B401</f>
        <v>26851.9354181536</v>
      </c>
      <c r="H401" s="29" t="n">
        <f aca="false">MAX(0,'Visitor Economics'!$B$18*B401*C401*D401)</f>
        <v>644042.722888242</v>
      </c>
      <c r="I401" s="29" t="n">
        <f aca="false">H401*Controls!$B$52</f>
        <v>914540.666501304</v>
      </c>
      <c r="J401" s="29" t="n">
        <f aca="false">'City Fiscal'!$B$5+(H401*Controls!$B$56*Controls!$B$55)+('City Fiscal'!$B$9*B401*F401)</f>
        <v>140736.545846843</v>
      </c>
      <c r="K401" s="29" t="n">
        <f aca="false">J401-('City Fiscal'!$B$13*E401)</f>
        <v>30976.9806676268</v>
      </c>
      <c r="L401" s="30" t="n">
        <f aca="false">'Mobility &amp; Emissions'!$B$21*B401*F401</f>
        <v>80.5755711222238</v>
      </c>
    </row>
    <row r="402" customFormat="false" ht="15" hidden="false" customHeight="true" outlineLevel="0" collapsed="false">
      <c r="A402" s="14" t="n">
        <v>398</v>
      </c>
      <c r="B402" s="47" t="n">
        <v>0.892473996994861</v>
      </c>
      <c r="C402" s="47" t="n">
        <v>0.988294384933069</v>
      </c>
      <c r="D402" s="47" t="n">
        <v>0.992204382612613</v>
      </c>
      <c r="E402" s="47" t="n">
        <v>0.970206857366766</v>
      </c>
      <c r="F402" s="47" t="n">
        <v>1.05620501079482</v>
      </c>
      <c r="G402" s="27" t="n">
        <f aca="false">'Visitor Economics'!$B$5*B402</f>
        <v>28737.6627032345</v>
      </c>
      <c r="H402" s="29" t="n">
        <f aca="false">MAX(0,'Visitor Economics'!$B$18*B402*C402*D402)</f>
        <v>633253.661948748</v>
      </c>
      <c r="I402" s="29" t="n">
        <f aca="false">H402*Controls!$B$52</f>
        <v>899220.199967222</v>
      </c>
      <c r="J402" s="29" t="n">
        <f aca="false">'City Fiscal'!$B$5+(H402*Controls!$B$56*Controls!$B$55)+('City Fiscal'!$B$9*B402*F402)</f>
        <v>149078.227374287</v>
      </c>
      <c r="K402" s="29" t="n">
        <f aca="false">J402-('City Fiscal'!$B$13*E402)</f>
        <v>42355.4730639425</v>
      </c>
      <c r="L402" s="30" t="n">
        <f aca="false">'Mobility &amp; Emissions'!$B$21*B402*F402</f>
        <v>87.9777744074759</v>
      </c>
    </row>
    <row r="403" customFormat="false" ht="15" hidden="false" customHeight="true" outlineLevel="0" collapsed="false">
      <c r="A403" s="14" t="n">
        <v>399</v>
      </c>
      <c r="B403" s="47" t="n">
        <v>0.9135095502202</v>
      </c>
      <c r="C403" s="47" t="n">
        <v>1.0196904790162</v>
      </c>
      <c r="D403" s="47" t="n">
        <v>1.07741306538443</v>
      </c>
      <c r="E403" s="47" t="n">
        <v>1.09992918338331</v>
      </c>
      <c r="F403" s="47" t="n">
        <v>0.956172030215118</v>
      </c>
      <c r="G403" s="27" t="n">
        <f aca="false">'Visitor Economics'!$B$5*B403</f>
        <v>29415.0075170904</v>
      </c>
      <c r="H403" s="29" t="n">
        <f aca="false">MAX(0,'Visitor Economics'!$B$18*B403*C403*D403)</f>
        <v>726203.543313713</v>
      </c>
      <c r="I403" s="29" t="n">
        <f aca="false">H403*Controls!$B$52</f>
        <v>1031209.03150547</v>
      </c>
      <c r="J403" s="29" t="n">
        <f aca="false">'City Fiscal'!$B$5+(H403*Controls!$B$56*Controls!$B$55)+('City Fiscal'!$B$9*B403*F403)</f>
        <v>142345.177270221</v>
      </c>
      <c r="K403" s="29" t="n">
        <f aca="false">J403-('City Fiscal'!$B$13*E403)</f>
        <v>21352.967098057</v>
      </c>
      <c r="L403" s="30" t="n">
        <f aca="false">'Mobility &amp; Emissions'!$B$21*B403*F403</f>
        <v>81.5226529124024</v>
      </c>
    </row>
    <row r="404" customFormat="false" ht="15" hidden="false" customHeight="true" outlineLevel="0" collapsed="false">
      <c r="A404" s="14" t="n">
        <v>400</v>
      </c>
      <c r="B404" s="47" t="n">
        <v>1.00071269847801</v>
      </c>
      <c r="C404" s="47" t="n">
        <v>0.928124927745641</v>
      </c>
      <c r="D404" s="47" t="n">
        <v>0.924701416717322</v>
      </c>
      <c r="E404" s="47" t="n">
        <v>1.04328461595711</v>
      </c>
      <c r="F404" s="47" t="n">
        <v>1.12114692390749</v>
      </c>
      <c r="G404" s="27" t="n">
        <f aca="false">'Visitor Economics'!$B$5*B404</f>
        <v>32222.9488909919</v>
      </c>
      <c r="H404" s="29" t="n">
        <f aca="false">MAX(0,'Visitor Economics'!$B$18*B404*C404*D404)</f>
        <v>621458.368451871</v>
      </c>
      <c r="I404" s="29" t="n">
        <f aca="false">H404*Controls!$B$52</f>
        <v>882470.883201657</v>
      </c>
      <c r="J404" s="29" t="n">
        <f aca="false">'City Fiscal'!$B$5+(H404*Controls!$B$56*Controls!$B$55)+('City Fiscal'!$B$9*B404*F404)</f>
        <v>168019.236695992</v>
      </c>
      <c r="K404" s="29" t="n">
        <f aca="false">J404-('City Fiscal'!$B$13*E404)</f>
        <v>53257.9289407095</v>
      </c>
      <c r="L404" s="30" t="n">
        <f aca="false">'Mobility &amp; Emissions'!$B$21*B404*F404</f>
        <v>104.713124092213</v>
      </c>
    </row>
    <row r="405" customFormat="false" ht="15" hidden="false" customHeight="true" outlineLevel="0" collapsed="false">
      <c r="A405" s="14" t="n">
        <v>401</v>
      </c>
      <c r="B405" s="47" t="n">
        <v>0.960300753773603</v>
      </c>
      <c r="C405" s="47" t="n">
        <v>0.964093719502274</v>
      </c>
      <c r="D405" s="47" t="n">
        <v>1.02561472864736</v>
      </c>
      <c r="E405" s="47" t="n">
        <v>1.10652090744642</v>
      </c>
      <c r="F405" s="47" t="n">
        <v>1.05548809598786</v>
      </c>
      <c r="G405" s="27" t="n">
        <f aca="false">'Visitor Economics'!$B$5*B405</f>
        <v>30921.68427151</v>
      </c>
      <c r="H405" s="29" t="n">
        <f aca="false">MAX(0,'Visitor Economics'!$B$18*B405*C405*D405)</f>
        <v>687077.049587063</v>
      </c>
      <c r="I405" s="29" t="n">
        <f aca="false">H405*Controls!$B$52</f>
        <v>975649.410413629</v>
      </c>
      <c r="J405" s="29" t="n">
        <f aca="false">'City Fiscal'!$B$5+(H405*Controls!$B$56*Controls!$B$55)+('City Fiscal'!$B$9*B405*F405)</f>
        <v>156951.924962335</v>
      </c>
      <c r="K405" s="29" t="n">
        <f aca="false">J405-('City Fiscal'!$B$13*E405)</f>
        <v>35234.6251432288</v>
      </c>
      <c r="L405" s="30" t="n">
        <f aca="false">'Mobility &amp; Emissions'!$B$21*B405*F405</f>
        <v>94.5997057992895</v>
      </c>
    </row>
    <row r="406" customFormat="false" ht="15" hidden="false" customHeight="true" outlineLevel="0" collapsed="false">
      <c r="A406" s="14" t="n">
        <v>402</v>
      </c>
      <c r="B406" s="47" t="n">
        <v>0.887744141372049</v>
      </c>
      <c r="C406" s="47" t="n">
        <v>0.971937487145207</v>
      </c>
      <c r="D406" s="47" t="n">
        <v>0.949696493776389</v>
      </c>
      <c r="E406" s="47" t="n">
        <v>1.01781203734905</v>
      </c>
      <c r="F406" s="47" t="n">
        <v>0.876410225292489</v>
      </c>
      <c r="G406" s="27" t="n">
        <f aca="false">'Visitor Economics'!$B$5*B406</f>
        <v>28585.36135218</v>
      </c>
      <c r="H406" s="29" t="n">
        <f aca="false">MAX(0,'Visitor Economics'!$B$18*B406*C406*D406)</f>
        <v>592933.041126326</v>
      </c>
      <c r="I406" s="29" t="n">
        <f aca="false">H406*Controls!$B$52</f>
        <v>841964.918399383</v>
      </c>
      <c r="J406" s="29" t="n">
        <f aca="false">'City Fiscal'!$B$5+(H406*Controls!$B$56*Controls!$B$55)+('City Fiscal'!$B$9*B406*F406)</f>
        <v>131358.88780587</v>
      </c>
      <c r="K406" s="29" t="n">
        <f aca="false">J406-('City Fiscal'!$B$13*E406)</f>
        <v>19399.5636974742</v>
      </c>
      <c r="L406" s="30" t="n">
        <f aca="false">'Mobility &amp; Emissions'!$B$21*B406*F406</f>
        <v>72.6146798954466</v>
      </c>
    </row>
    <row r="407" customFormat="false" ht="15" hidden="false" customHeight="true" outlineLevel="0" collapsed="false">
      <c r="A407" s="14" t="n">
        <v>403</v>
      </c>
      <c r="B407" s="47" t="n">
        <v>0.896437107487261</v>
      </c>
      <c r="C407" s="47" t="n">
        <v>0.919</v>
      </c>
      <c r="D407" s="47" t="n">
        <v>1.10680869439802</v>
      </c>
      <c r="E407" s="47" t="n">
        <v>1.08787736123539</v>
      </c>
      <c r="F407" s="47" t="n">
        <v>1.02953216196843</v>
      </c>
      <c r="G407" s="27" t="n">
        <f aca="false">'Visitor Economics'!$B$5*B407</f>
        <v>28865.2748610898</v>
      </c>
      <c r="H407" s="29" t="n">
        <f aca="false">MAX(0,'Visitor Economics'!$B$18*B407*C407*D407)</f>
        <v>659785.198720247</v>
      </c>
      <c r="I407" s="29" t="n">
        <f aca="false">H407*Controls!$B$52</f>
        <v>936894.98218275</v>
      </c>
      <c r="J407" s="29" t="n">
        <f aca="false">'City Fiscal'!$B$5+(H407*Controls!$B$56*Controls!$B$55)+('City Fiscal'!$B$9*B407*F407)</f>
        <v>147158.177433215</v>
      </c>
      <c r="K407" s="29" t="n">
        <f aca="false">J407-('City Fiscal'!$B$13*E407)</f>
        <v>27491.6676973221</v>
      </c>
      <c r="L407" s="30" t="n">
        <f aca="false">'Mobility &amp; Emissions'!$B$21*B407*F407</f>
        <v>86.1368370240469</v>
      </c>
    </row>
    <row r="408" customFormat="false" ht="15" hidden="false" customHeight="true" outlineLevel="0" collapsed="false">
      <c r="A408" s="14" t="n">
        <v>404</v>
      </c>
      <c r="B408" s="47" t="n">
        <v>0.867237606569644</v>
      </c>
      <c r="C408" s="47" t="n">
        <v>1.02598936230405</v>
      </c>
      <c r="D408" s="47" t="n">
        <v>1.12522520286532</v>
      </c>
      <c r="E408" s="47" t="n">
        <v>1.09258732579617</v>
      </c>
      <c r="F408" s="47" t="n">
        <v>1.01016974576294</v>
      </c>
      <c r="G408" s="27" t="n">
        <f aca="false">'Visitor Economics'!$B$5*B408</f>
        <v>27925.0509315425</v>
      </c>
      <c r="H408" s="29" t="n">
        <f aca="false">MAX(0,'Visitor Economics'!$B$18*B408*C408*D408)</f>
        <v>724461.116163815</v>
      </c>
      <c r="I408" s="29" t="n">
        <f aca="false">H408*Controls!$B$52</f>
        <v>1028734.78495262</v>
      </c>
      <c r="J408" s="29" t="n">
        <f aca="false">'City Fiscal'!$B$5+(H408*Controls!$B$56*Controls!$B$55)+('City Fiscal'!$B$9*B408*F408)</f>
        <v>142608.038802522</v>
      </c>
      <c r="K408" s="29" t="n">
        <f aca="false">J408-('City Fiscal'!$B$13*E408)</f>
        <v>22423.4329649437</v>
      </c>
      <c r="L408" s="30" t="n">
        <f aca="false">'Mobility &amp; Emissions'!$B$21*B408*F408</f>
        <v>81.7639070774072</v>
      </c>
    </row>
    <row r="409" customFormat="false" ht="15" hidden="false" customHeight="true" outlineLevel="0" collapsed="false">
      <c r="A409" s="14" t="n">
        <v>405</v>
      </c>
      <c r="B409" s="47" t="n">
        <v>1.00267949192431</v>
      </c>
      <c r="C409" s="47" t="n">
        <v>1.03315531104322</v>
      </c>
      <c r="D409" s="47" t="n">
        <v>0.860389675954068</v>
      </c>
      <c r="E409" s="47" t="n">
        <v>1.15136557396122</v>
      </c>
      <c r="F409" s="47" t="n">
        <v>1.03217597868007</v>
      </c>
      <c r="G409" s="27" t="n">
        <f aca="false">'Visitor Economics'!$B$5*B409</f>
        <v>32286.2796399628</v>
      </c>
      <c r="H409" s="29" t="n">
        <f aca="false">MAX(0,'Visitor Economics'!$B$18*B409*C409*D409)</f>
        <v>644937.463116175</v>
      </c>
      <c r="I409" s="29" t="n">
        <f aca="false">H409*Controls!$B$52</f>
        <v>915811.197624969</v>
      </c>
      <c r="J409" s="29" t="n">
        <f aca="false">'City Fiscal'!$B$5+(H409*Controls!$B$56*Controls!$B$55)+('City Fiscal'!$B$9*B409*F409)</f>
        <v>158943.816288256</v>
      </c>
      <c r="K409" s="29" t="n">
        <f aca="false">J409-('City Fiscal'!$B$13*E409)</f>
        <v>32293.6031525215</v>
      </c>
      <c r="L409" s="30" t="n">
        <f aca="false">'Mobility &amp; Emissions'!$B$21*B409*F409</f>
        <v>96.5928669439914</v>
      </c>
    </row>
    <row r="410" customFormat="false" ht="15" hidden="false" customHeight="true" outlineLevel="0" collapsed="false">
      <c r="A410" s="14" t="n">
        <v>406</v>
      </c>
      <c r="B410" s="47" t="n">
        <v>0.85434514106517</v>
      </c>
      <c r="C410" s="47" t="n">
        <v>0.956194713553794</v>
      </c>
      <c r="D410" s="47" t="n">
        <v>0.988021393130611</v>
      </c>
      <c r="E410" s="47" t="n">
        <v>0.97823684779469</v>
      </c>
      <c r="F410" s="47" t="n">
        <v>0.945694827446419</v>
      </c>
      <c r="G410" s="27" t="n">
        <f aca="false">'Visitor Economics'!$B$5*B410</f>
        <v>27509.9135422985</v>
      </c>
      <c r="H410" s="29" t="n">
        <f aca="false">MAX(0,'Visitor Economics'!$B$18*B410*C410*D410)</f>
        <v>584037.468604793</v>
      </c>
      <c r="I410" s="29" t="n">
        <f aca="false">H410*Controls!$B$52</f>
        <v>829333.205418806</v>
      </c>
      <c r="J410" s="29" t="n">
        <f aca="false">'City Fiscal'!$B$5+(H410*Controls!$B$56*Controls!$B$55)+('City Fiscal'!$B$9*B410*F410)</f>
        <v>134474.706606666</v>
      </c>
      <c r="K410" s="29" t="n">
        <f aca="false">J410-('City Fiscal'!$B$13*E410)</f>
        <v>26868.6533492499</v>
      </c>
      <c r="L410" s="30" t="n">
        <f aca="false">'Mobility &amp; Emissions'!$B$21*B410*F410</f>
        <v>75.4073265528939</v>
      </c>
    </row>
    <row r="411" customFormat="false" ht="15" hidden="false" customHeight="true" outlineLevel="0" collapsed="false">
      <c r="A411" s="14" t="n">
        <v>407</v>
      </c>
      <c r="B411" s="47" t="n">
        <v>0.886173443007185</v>
      </c>
      <c r="C411" s="47" t="n">
        <v>1.07070496982454</v>
      </c>
      <c r="D411" s="47" t="n">
        <v>1.01612770578797</v>
      </c>
      <c r="E411" s="47" t="n">
        <v>1.02319887566416</v>
      </c>
      <c r="F411" s="47" t="n">
        <v>0.957854068073485</v>
      </c>
      <c r="G411" s="27" t="n">
        <f aca="false">'Visitor Economics'!$B$5*B411</f>
        <v>28534.7848648314</v>
      </c>
      <c r="H411" s="29" t="n">
        <f aca="false">MAX(0,'Visitor Economics'!$B$18*B411*C411*D411)</f>
        <v>697640.22259333</v>
      </c>
      <c r="I411" s="29" t="n">
        <f aca="false">H411*Controls!$B$52</f>
        <v>990649.116082529</v>
      </c>
      <c r="J411" s="29" t="n">
        <f aca="false">'City Fiscal'!$B$5+(H411*Controls!$B$56*Controls!$B$55)+('City Fiscal'!$B$9*B411*F411)</f>
        <v>139546.009866333</v>
      </c>
      <c r="K411" s="29" t="n">
        <f aca="false">J411-('City Fiscal'!$B$13*E411)</f>
        <v>26994.1335432753</v>
      </c>
      <c r="L411" s="30" t="n">
        <f aca="false">'Mobility &amp; Emissions'!$B$21*B411*F411</f>
        <v>79.2222650770567</v>
      </c>
    </row>
    <row r="412" customFormat="false" ht="15" hidden="false" customHeight="true" outlineLevel="0" collapsed="false">
      <c r="A412" s="14" t="n">
        <v>408</v>
      </c>
      <c r="B412" s="47" t="n">
        <v>0.922081666680851</v>
      </c>
      <c r="C412" s="47" t="n">
        <v>0.968522725533839</v>
      </c>
      <c r="D412" s="47" t="n">
        <v>1.11526414731038</v>
      </c>
      <c r="E412" s="47" t="n">
        <v>1.11461628606069</v>
      </c>
      <c r="F412" s="47" t="n">
        <v>0.953380365640677</v>
      </c>
      <c r="G412" s="27" t="n">
        <f aca="false">'Visitor Economics'!$B$5*B412</f>
        <v>29691.0296671234</v>
      </c>
      <c r="H412" s="29" t="n">
        <f aca="false">MAX(0,'Visitor Economics'!$B$18*B412*C412*D412)</f>
        <v>720695.173105765</v>
      </c>
      <c r="I412" s="29" t="n">
        <f aca="false">H412*Controls!$B$52</f>
        <v>1023387.14581019</v>
      </c>
      <c r="J412" s="29" t="n">
        <f aca="false">'City Fiscal'!$B$5+(H412*Controls!$B$56*Controls!$B$55)+('City Fiscal'!$B$9*B412*F412)</f>
        <v>142905.774519182</v>
      </c>
      <c r="K412" s="29" t="n">
        <f aca="false">J412-('City Fiscal'!$B$13*E412)</f>
        <v>20297.9830525056</v>
      </c>
      <c r="L412" s="30" t="n">
        <f aca="false">'Mobility &amp; Emissions'!$B$21*B412*F412</f>
        <v>82.0473894217614</v>
      </c>
    </row>
    <row r="413" customFormat="false" ht="15" hidden="false" customHeight="true" outlineLevel="0" collapsed="false">
      <c r="A413" s="14" t="n">
        <v>409</v>
      </c>
      <c r="B413" s="47" t="n">
        <v>0.975233941428801</v>
      </c>
      <c r="C413" s="47" t="n">
        <v>0.944599357943771</v>
      </c>
      <c r="D413" s="47" t="n">
        <v>1.06716469159377</v>
      </c>
      <c r="E413" s="47" t="n">
        <v>0.937869843471517</v>
      </c>
      <c r="F413" s="47" t="n">
        <v>0.942100488598053</v>
      </c>
      <c r="G413" s="27" t="n">
        <f aca="false">'Visitor Economics'!$B$5*B413</f>
        <v>31402.5329140074</v>
      </c>
      <c r="H413" s="29" t="n">
        <f aca="false">MAX(0,'Visitor Economics'!$B$18*B413*C413*D413)</f>
        <v>711348.747324169</v>
      </c>
      <c r="I413" s="29" t="n">
        <f aca="false">H413*Controls!$B$52</f>
        <v>1010115.22120032</v>
      </c>
      <c r="J413" s="29" t="n">
        <f aca="false">'City Fiscal'!$B$5+(H413*Controls!$B$56*Controls!$B$55)+('City Fiscal'!$B$9*B413*F413)</f>
        <v>147052.965032611</v>
      </c>
      <c r="K413" s="29" t="n">
        <f aca="false">J413-('City Fiscal'!$B$13*E413)</f>
        <v>43887.2822507436</v>
      </c>
      <c r="L413" s="30" t="n">
        <f aca="false">'Mobility &amp; Emissions'!$B$21*B413*F413</f>
        <v>85.7502141319559</v>
      </c>
    </row>
    <row r="414" customFormat="false" ht="15" hidden="false" customHeight="true" outlineLevel="0" collapsed="false">
      <c r="A414" s="14" t="n">
        <v>410</v>
      </c>
      <c r="B414" s="47" t="n">
        <v>0.906</v>
      </c>
      <c r="C414" s="47" t="n">
        <v>1.01755977352622</v>
      </c>
      <c r="D414" s="47" t="n">
        <v>1.0201821373348</v>
      </c>
      <c r="E414" s="47" t="n">
        <v>0.985177177600297</v>
      </c>
      <c r="F414" s="47" t="n">
        <v>1.06344077172248</v>
      </c>
      <c r="G414" s="27" t="n">
        <f aca="false">'Visitor Economics'!$B$5*B414</f>
        <v>29173.2</v>
      </c>
      <c r="H414" s="29" t="n">
        <f aca="false">MAX(0,'Visitor Economics'!$B$18*B414*C414*D414)</f>
        <v>680550.742739791</v>
      </c>
      <c r="I414" s="29" t="n">
        <f aca="false">H414*Controls!$B$52</f>
        <v>966382.054690503</v>
      </c>
      <c r="J414" s="29" t="n">
        <f aca="false">'City Fiscal'!$B$5+(H414*Controls!$B$56*Controls!$B$55)+('City Fiscal'!$B$9*B414*F414)</f>
        <v>151595.171059771</v>
      </c>
      <c r="K414" s="29" t="n">
        <f aca="false">J414-('City Fiscal'!$B$13*E414)</f>
        <v>43225.6815237382</v>
      </c>
      <c r="L414" s="30" t="n">
        <f aca="false">'Mobility &amp; Emissions'!$B$21*B414*F414</f>
        <v>89.9229779771989</v>
      </c>
    </row>
    <row r="415" customFormat="false" ht="15" hidden="false" customHeight="true" outlineLevel="0" collapsed="false">
      <c r="A415" s="14" t="n">
        <v>411</v>
      </c>
      <c r="B415" s="47" t="n">
        <v>0.902621368447755</v>
      </c>
      <c r="C415" s="47" t="n">
        <v>0.860583247775406</v>
      </c>
      <c r="D415" s="47" t="n">
        <v>1.07106216163148</v>
      </c>
      <c r="E415" s="47" t="n">
        <v>0.972761578939208</v>
      </c>
      <c r="F415" s="47" t="n">
        <v>0.917583281956413</v>
      </c>
      <c r="G415" s="27" t="n">
        <f aca="false">'Visitor Economics'!$B$5*B415</f>
        <v>29064.4080640177</v>
      </c>
      <c r="H415" s="29" t="n">
        <f aca="false">MAX(0,'Visitor Economics'!$B$18*B415*C415*D415)</f>
        <v>602015.73816599</v>
      </c>
      <c r="I415" s="29" t="n">
        <f aca="false">H415*Controls!$B$52</f>
        <v>854862.348195706</v>
      </c>
      <c r="J415" s="29" t="n">
        <f aca="false">'City Fiscal'!$B$5+(H415*Controls!$B$56*Controls!$B$55)+('City Fiscal'!$B$9*B415*F415)</f>
        <v>136742.1299403</v>
      </c>
      <c r="K415" s="29" t="n">
        <f aca="false">J415-('City Fiscal'!$B$13*E415)</f>
        <v>29738.3562569868</v>
      </c>
      <c r="L415" s="30" t="n">
        <f aca="false">'Mobility &amp; Emissions'!$B$21*B415*F415</f>
        <v>77.300139802146</v>
      </c>
    </row>
    <row r="416" customFormat="false" ht="15" hidden="false" customHeight="true" outlineLevel="0" collapsed="false">
      <c r="A416" s="14" t="n">
        <v>412</v>
      </c>
      <c r="B416" s="47" t="n">
        <v>0.840099916805267</v>
      </c>
      <c r="C416" s="47" t="n">
        <v>1.06260662059087</v>
      </c>
      <c r="D416" s="47" t="n">
        <v>1.00508419814148</v>
      </c>
      <c r="E416" s="47" t="n">
        <v>0.990934197865728</v>
      </c>
      <c r="F416" s="47" t="n">
        <v>1.08725049800994</v>
      </c>
      <c r="G416" s="27" t="n">
        <f aca="false">'Visitor Economics'!$B$5*B416</f>
        <v>27051.2173211296</v>
      </c>
      <c r="H416" s="29" t="n">
        <f aca="false">MAX(0,'Visitor Economics'!$B$18*B416*C416*D416)</f>
        <v>649232.980962527</v>
      </c>
      <c r="I416" s="29" t="n">
        <f aca="false">H416*Controls!$B$52</f>
        <v>921910.832966788</v>
      </c>
      <c r="J416" s="29" t="n">
        <f aca="false">'City Fiscal'!$B$5+(H416*Controls!$B$56*Controls!$B$55)+('City Fiscal'!$B$9*B416*F416)</f>
        <v>146080.991521008</v>
      </c>
      <c r="K416" s="29" t="n">
        <f aca="false">J416-('City Fiscal'!$B$13*E416)</f>
        <v>37078.2297557778</v>
      </c>
      <c r="L416" s="30" t="n">
        <f aca="false">'Mobility &amp; Emissions'!$B$21*B416*F416</f>
        <v>85.2490863878462</v>
      </c>
    </row>
    <row r="417" customFormat="false" ht="15" hidden="false" customHeight="true" outlineLevel="0" collapsed="false">
      <c r="A417" s="14" t="n">
        <v>413</v>
      </c>
      <c r="B417" s="47" t="n">
        <v>0.961314396995515</v>
      </c>
      <c r="C417" s="47" t="n">
        <v>0.879924953066315</v>
      </c>
      <c r="D417" s="47" t="n">
        <v>0.909624457568778</v>
      </c>
      <c r="E417" s="47" t="n">
        <v>1.04147242388595</v>
      </c>
      <c r="F417" s="47" t="n">
        <v>1.05692744765507</v>
      </c>
      <c r="G417" s="27" t="n">
        <f aca="false">'Visitor Economics'!$B$5*B417</f>
        <v>30954.3235832556</v>
      </c>
      <c r="H417" s="29" t="n">
        <f aca="false">MAX(0,'Visitor Economics'!$B$18*B417*C417*D417)</f>
        <v>556759.810954934</v>
      </c>
      <c r="I417" s="29" t="n">
        <f aca="false">H417*Controls!$B$52</f>
        <v>790598.931556006</v>
      </c>
      <c r="J417" s="29" t="n">
        <f aca="false">'City Fiscal'!$B$5+(H417*Controls!$B$56*Controls!$B$55)+('City Fiscal'!$B$9*B417*F417)</f>
        <v>156367.690532961</v>
      </c>
      <c r="K417" s="29" t="n">
        <f aca="false">J417-('City Fiscal'!$B$13*E417)</f>
        <v>41805.7239055066</v>
      </c>
      <c r="L417" s="30" t="n">
        <f aca="false">'Mobility &amp; Emissions'!$B$21*B417*F417</f>
        <v>94.8287005230164</v>
      </c>
    </row>
    <row r="418" customFormat="false" ht="15" hidden="false" customHeight="true" outlineLevel="0" collapsed="false">
      <c r="A418" s="14" t="n">
        <v>414</v>
      </c>
      <c r="B418" s="47" t="n">
        <v>0.852282778031838</v>
      </c>
      <c r="C418" s="47" t="n">
        <v>0.921424849026262</v>
      </c>
      <c r="D418" s="47" t="n">
        <v>1.0999958333912</v>
      </c>
      <c r="E418" s="47" t="n">
        <v>0.916974738978767</v>
      </c>
      <c r="F418" s="47" t="n">
        <v>0.99704591119783</v>
      </c>
      <c r="G418" s="27" t="n">
        <f aca="false">'Visitor Economics'!$B$5*B418</f>
        <v>27443.5054526252</v>
      </c>
      <c r="H418" s="29" t="n">
        <f aca="false">MAX(0,'Visitor Economics'!$B$18*B418*C418*D418)</f>
        <v>625070.98883168</v>
      </c>
      <c r="I418" s="29" t="n">
        <f aca="false">H418*Controls!$B$52</f>
        <v>887600.804140986</v>
      </c>
      <c r="J418" s="29" t="n">
        <f aca="false">'City Fiscal'!$B$5+(H418*Controls!$B$56*Controls!$B$55)+('City Fiscal'!$B$9*B418*F418)</f>
        <v>139175.47996107</v>
      </c>
      <c r="K418" s="29" t="n">
        <f aca="false">J418-('City Fiscal'!$B$13*E418)</f>
        <v>38308.2586734054</v>
      </c>
      <c r="L418" s="30" t="n">
        <f aca="false">'Mobility &amp; Emissions'!$B$21*B418*F418</f>
        <v>79.3100175590277</v>
      </c>
    </row>
    <row r="419" customFormat="false" ht="15" hidden="false" customHeight="true" outlineLevel="0" collapsed="false">
      <c r="A419" s="14" t="n">
        <v>415</v>
      </c>
      <c r="B419" s="47" t="n">
        <v>0.904119297452088</v>
      </c>
      <c r="C419" s="47" t="n">
        <v>0.962965030689326</v>
      </c>
      <c r="D419" s="47" t="n">
        <v>0.987772712356556</v>
      </c>
      <c r="E419" s="47" t="n">
        <v>1.02201699624753</v>
      </c>
      <c r="F419" s="47" t="n">
        <v>0.952506097379619</v>
      </c>
      <c r="G419" s="27" t="n">
        <f aca="false">'Visitor Economics'!$B$5*B419</f>
        <v>29112.6413779572</v>
      </c>
      <c r="H419" s="29" t="n">
        <f aca="false">MAX(0,'Visitor Economics'!$B$18*B419*C419*D419)</f>
        <v>622283.017865676</v>
      </c>
      <c r="I419" s="29" t="n">
        <f aca="false">H419*Controls!$B$52</f>
        <v>883641.88536926</v>
      </c>
      <c r="J419" s="29" t="n">
        <f aca="false">'City Fiscal'!$B$5+(H419*Controls!$B$56*Controls!$B$55)+('City Fiscal'!$B$9*B419*F419)</f>
        <v>140367.977450114</v>
      </c>
      <c r="K419" s="29" t="n">
        <f aca="false">J419-('City Fiscal'!$B$13*E419)</f>
        <v>27946.107862886</v>
      </c>
      <c r="L419" s="30" t="n">
        <f aca="false">'Mobility &amp; Emissions'!$B$21*B419*F419</f>
        <v>80.3753134750234</v>
      </c>
    </row>
    <row r="420" customFormat="false" ht="15" hidden="false" customHeight="true" outlineLevel="0" collapsed="false">
      <c r="A420" s="14" t="n">
        <v>416</v>
      </c>
      <c r="B420" s="47" t="n">
        <v>0.877081409136868</v>
      </c>
      <c r="C420" s="47" t="n">
        <v>0.963530484566868</v>
      </c>
      <c r="D420" s="47" t="n">
        <v>0.999391658911637</v>
      </c>
      <c r="E420" s="47" t="n">
        <v>1.17779369833595</v>
      </c>
      <c r="F420" s="47" t="n">
        <v>0.877248853186877</v>
      </c>
      <c r="G420" s="27" t="n">
        <f aca="false">'Visitor Economics'!$B$5*B420</f>
        <v>28242.0213742072</v>
      </c>
      <c r="H420" s="29" t="n">
        <f aca="false">MAX(0,'Visitor Economics'!$B$18*B420*C420*D420)</f>
        <v>611133.027933867</v>
      </c>
      <c r="I420" s="29" t="n">
        <f aca="false">H420*Controls!$B$52</f>
        <v>867808.899666091</v>
      </c>
      <c r="J420" s="29" t="n">
        <f aca="false">'City Fiscal'!$B$5+(H420*Controls!$B$56*Controls!$B$55)+('City Fiscal'!$B$9*B420*F420)</f>
        <v>130563.723360891</v>
      </c>
      <c r="K420" s="29" t="n">
        <f aca="false">J420-('City Fiscal'!$B$13*E420)</f>
        <v>1006.41654393643</v>
      </c>
      <c r="L420" s="30" t="n">
        <f aca="false">'Mobility &amp; Emissions'!$B$21*B420*F420</f>
        <v>71.8111515790939</v>
      </c>
    </row>
    <row r="421" customFormat="false" ht="15" hidden="false" customHeight="true" outlineLevel="0" collapsed="false">
      <c r="A421" s="14" t="n">
        <v>417</v>
      </c>
      <c r="B421" s="47" t="n">
        <v>0.863498502980592</v>
      </c>
      <c r="C421" s="47" t="n">
        <v>0.871701063818842</v>
      </c>
      <c r="D421" s="47" t="n">
        <v>1.04022929184464</v>
      </c>
      <c r="E421" s="47" t="n">
        <v>0.951819194353478</v>
      </c>
      <c r="F421" s="47" t="n">
        <v>0.925746287037716</v>
      </c>
      <c r="G421" s="27" t="n">
        <f aca="false">'Visitor Economics'!$B$5*B421</f>
        <v>27804.6517959751</v>
      </c>
      <c r="H421" s="29" t="n">
        <f aca="false">MAX(0,'Visitor Economics'!$B$18*B421*C421*D421)</f>
        <v>566569.137227307</v>
      </c>
      <c r="I421" s="29" t="n">
        <f aca="false">H421*Controls!$B$52</f>
        <v>804528.174862776</v>
      </c>
      <c r="J421" s="29" t="n">
        <f aca="false">'City Fiscal'!$B$5+(H421*Controls!$B$56*Controls!$B$55)+('City Fiscal'!$B$9*B421*F421)</f>
        <v>133452.668113219</v>
      </c>
      <c r="K421" s="29" t="n">
        <f aca="false">J421-('City Fiscal'!$B$13*E421)</f>
        <v>28752.5567343363</v>
      </c>
      <c r="L421" s="30" t="n">
        <f aca="false">'Mobility &amp; Emissions'!$B$21*B421*F421</f>
        <v>74.6075440915077</v>
      </c>
    </row>
    <row r="422" customFormat="false" ht="15" hidden="false" customHeight="true" outlineLevel="0" collapsed="false">
      <c r="A422" s="14" t="n">
        <v>418</v>
      </c>
      <c r="B422" s="47" t="n">
        <v>0.852049982650935</v>
      </c>
      <c r="C422" s="47" t="n">
        <v>0.990049992649221</v>
      </c>
      <c r="D422" s="47" t="n">
        <v>1.14631176537331</v>
      </c>
      <c r="E422" s="47" t="n">
        <v>0.878688158941988</v>
      </c>
      <c r="F422" s="47" t="n">
        <v>0.886434873404473</v>
      </c>
      <c r="G422" s="27" t="n">
        <f aca="false">'Visitor Economics'!$B$5*B422</f>
        <v>27436.0094413601</v>
      </c>
      <c r="H422" s="29" t="n">
        <f aca="false">MAX(0,'Visitor Economics'!$B$18*B422*C422*D422)</f>
        <v>699712.473986476</v>
      </c>
      <c r="I422" s="29" t="n">
        <f aca="false">H422*Controls!$B$52</f>
        <v>993591.713060795</v>
      </c>
      <c r="J422" s="29" t="n">
        <f aca="false">'City Fiscal'!$B$5+(H422*Controls!$B$56*Controls!$B$55)+('City Fiscal'!$B$9*B422*F422)</f>
        <v>129638.912693599</v>
      </c>
      <c r="K422" s="29" t="n">
        <f aca="false">J422-('City Fiscal'!$B$13*E422)</f>
        <v>32983.2152099802</v>
      </c>
      <c r="L422" s="30" t="n">
        <f aca="false">'Mobility &amp; Emissions'!$B$21*B422*F422</f>
        <v>70.4922027587065</v>
      </c>
    </row>
    <row r="423" customFormat="false" ht="15" hidden="false" customHeight="true" outlineLevel="0" collapsed="false">
      <c r="A423" s="14" t="n">
        <v>419</v>
      </c>
      <c r="B423" s="47" t="n">
        <v>0.920501256289338</v>
      </c>
      <c r="C423" s="47" t="n">
        <v>1.01808827349122</v>
      </c>
      <c r="D423" s="47" t="n">
        <v>1.08794676800508</v>
      </c>
      <c r="E423" s="47" t="n">
        <v>1.20192453848375</v>
      </c>
      <c r="F423" s="47" t="n">
        <v>1.00698776276136</v>
      </c>
      <c r="G423" s="27" t="n">
        <f aca="false">'Visitor Economics'!$B$5*B423</f>
        <v>29640.1404525167</v>
      </c>
      <c r="H423" s="29" t="n">
        <f aca="false">MAX(0,'Visitor Economics'!$B$18*B423*C423*D423)</f>
        <v>737754.957770067</v>
      </c>
      <c r="I423" s="29" t="n">
        <f aca="false">H423*Controls!$B$52</f>
        <v>1047612.04003349</v>
      </c>
      <c r="J423" s="29" t="n">
        <f aca="false">'City Fiscal'!$B$5+(H423*Controls!$B$56*Controls!$B$55)+('City Fiscal'!$B$9*B423*F423)</f>
        <v>148090.060542637</v>
      </c>
      <c r="K423" s="29" t="n">
        <f aca="false">J423-('City Fiscal'!$B$13*E423)</f>
        <v>15878.3613094242</v>
      </c>
      <c r="L423" s="30" t="n">
        <f aca="false">'Mobility &amp; Emissions'!$B$21*B423*F423</f>
        <v>86.5122794063322</v>
      </c>
    </row>
    <row r="424" customFormat="false" ht="15" hidden="false" customHeight="true" outlineLevel="0" collapsed="false">
      <c r="A424" s="14" t="n">
        <v>420</v>
      </c>
      <c r="B424" s="47" t="n">
        <v>0.943711075508957</v>
      </c>
      <c r="C424" s="47" t="n">
        <v>0.868466483264211</v>
      </c>
      <c r="D424" s="47" t="n">
        <v>0.981968561910016</v>
      </c>
      <c r="E424" s="47" t="n">
        <v>1.09744263374062</v>
      </c>
      <c r="F424" s="47" t="n">
        <v>1.01743869342829</v>
      </c>
      <c r="G424" s="27" t="n">
        <f aca="false">'Visitor Economics'!$B$5*B424</f>
        <v>30387.4966313884</v>
      </c>
      <c r="H424" s="29" t="n">
        <f aca="false">MAX(0,'Visitor Economics'!$B$18*B424*C424*D424)</f>
        <v>582350.386256797</v>
      </c>
      <c r="I424" s="29" t="n">
        <f aca="false">H424*Controls!$B$52</f>
        <v>826937.548484652</v>
      </c>
      <c r="J424" s="29" t="n">
        <f aca="false">'City Fiscal'!$B$5+(H424*Controls!$B$56*Controls!$B$55)+('City Fiscal'!$B$9*B424*F424)</f>
        <v>150607.86572836</v>
      </c>
      <c r="K424" s="29" t="n">
        <f aca="false">J424-('City Fiscal'!$B$13*E424)</f>
        <v>29889.1760168915</v>
      </c>
      <c r="L424" s="30" t="n">
        <f aca="false">'Mobility &amp; Emissions'!$B$21*B424*F424</f>
        <v>89.6141269983658</v>
      </c>
    </row>
    <row r="425" customFormat="false" ht="15" hidden="false" customHeight="true" outlineLevel="0" collapsed="false">
      <c r="A425" s="14" t="n">
        <v>421</v>
      </c>
      <c r="B425" s="47" t="n">
        <v>1.00134524189382</v>
      </c>
      <c r="C425" s="47" t="n">
        <v>0.997203273107468</v>
      </c>
      <c r="D425" s="47" t="n">
        <v>0.989013157480576</v>
      </c>
      <c r="E425" s="47" t="n">
        <v>0.922030877679259</v>
      </c>
      <c r="F425" s="47" t="n">
        <v>1.05863534600295</v>
      </c>
      <c r="G425" s="27" t="n">
        <f aca="false">'Visitor Economics'!$B$5*B425</f>
        <v>32243.316788981</v>
      </c>
      <c r="H425" s="29" t="n">
        <f aca="false">MAX(0,'Visitor Economics'!$B$18*B425*C425*D425)</f>
        <v>714602.074666133</v>
      </c>
      <c r="I425" s="29" t="n">
        <f aca="false">H425*Controls!$B$52</f>
        <v>1014734.94602591</v>
      </c>
      <c r="J425" s="29" t="n">
        <f aca="false">'City Fiscal'!$B$5+(H425*Controls!$B$56*Controls!$B$55)+('City Fiscal'!$B$9*B425*F425)</f>
        <v>162059.203399292</v>
      </c>
      <c r="K425" s="29" t="n">
        <f aca="false">J425-('City Fiscal'!$B$13*E425)</f>
        <v>60635.8068545732</v>
      </c>
      <c r="L425" s="30" t="n">
        <f aca="false">'Mobility &amp; Emissions'!$B$21*B425*F425</f>
        <v>98.9371521208006</v>
      </c>
    </row>
    <row r="426" customFormat="false" ht="15" hidden="false" customHeight="true" outlineLevel="0" collapsed="false">
      <c r="A426" s="14" t="n">
        <v>422</v>
      </c>
      <c r="B426" s="47" t="n">
        <v>0.893514756749949</v>
      </c>
      <c r="C426" s="47" t="n">
        <v>1.0147859324995</v>
      </c>
      <c r="D426" s="47" t="n">
        <v>0.889282661021774</v>
      </c>
      <c r="E426" s="47" t="n">
        <v>1.20788408851752</v>
      </c>
      <c r="F426" s="47" t="n">
        <v>0.87554407954889</v>
      </c>
      <c r="G426" s="27" t="n">
        <f aca="false">'Visitor Economics'!$B$5*B426</f>
        <v>28771.1751673484</v>
      </c>
      <c r="H426" s="29" t="n">
        <f aca="false">MAX(0,'Visitor Economics'!$B$18*B426*C426*D426)</f>
        <v>583459.427896562</v>
      </c>
      <c r="I426" s="29" t="n">
        <f aca="false">H426*Controls!$B$52</f>
        <v>828512.387613118</v>
      </c>
      <c r="J426" s="29" t="n">
        <f aca="false">'City Fiscal'!$B$5+(H426*Controls!$B$56*Controls!$B$55)+('City Fiscal'!$B$9*B426*F426)</f>
        <v>131751.802754412</v>
      </c>
      <c r="K426" s="29" t="n">
        <f aca="false">J426-('City Fiscal'!$B$13*E426)</f>
        <v>-1115.44698251548</v>
      </c>
      <c r="L426" s="30" t="n">
        <f aca="false">'Mobility &amp; Emissions'!$B$21*B426*F426</f>
        <v>73.014467382245</v>
      </c>
    </row>
    <row r="427" customFormat="false" ht="15" hidden="false" customHeight="true" outlineLevel="0" collapsed="false">
      <c r="A427" s="14" t="n">
        <v>423</v>
      </c>
      <c r="B427" s="47" t="n">
        <v>0.95097826429305</v>
      </c>
      <c r="C427" s="47" t="n">
        <v>1.00977296157476</v>
      </c>
      <c r="D427" s="47" t="n">
        <v>1.0602271094176</v>
      </c>
      <c r="E427" s="47" t="n">
        <v>1.00962269241877</v>
      </c>
      <c r="F427" s="47" t="n">
        <v>0.964531655012926</v>
      </c>
      <c r="G427" s="27" t="n">
        <f aca="false">'Visitor Economics'!$B$5*B427</f>
        <v>30621.5001102362</v>
      </c>
      <c r="H427" s="29" t="n">
        <f aca="false">MAX(0,'Visitor Economics'!$B$18*B427*C427*D427)</f>
        <v>736695.305781568</v>
      </c>
      <c r="I427" s="29" t="n">
        <f aca="false">H427*Controls!$B$52</f>
        <v>1046107.33420983</v>
      </c>
      <c r="J427" s="29" t="n">
        <f aca="false">'City Fiscal'!$B$5+(H427*Controls!$B$56*Controls!$B$55)+('City Fiscal'!$B$9*B427*F427)</f>
        <v>147056.029687843</v>
      </c>
      <c r="K427" s="29" t="n">
        <f aca="false">J427-('City Fiscal'!$B$13*E427)</f>
        <v>35997.5335217782</v>
      </c>
      <c r="L427" s="30" t="n">
        <f aca="false">'Mobility &amp; Emissions'!$B$21*B427*F427</f>
        <v>85.608374813613</v>
      </c>
    </row>
    <row r="428" customFormat="false" ht="15" hidden="false" customHeight="true" outlineLevel="0" collapsed="false">
      <c r="A428" s="14" t="n">
        <v>424</v>
      </c>
      <c r="B428" s="47" t="n">
        <v>0.92815229997436</v>
      </c>
      <c r="C428" s="47" t="n">
        <v>0.998871462229166</v>
      </c>
      <c r="D428" s="47" t="n">
        <v>1.12760208335106</v>
      </c>
      <c r="E428" s="47" t="n">
        <v>1.14451895904951</v>
      </c>
      <c r="F428" s="47" t="n">
        <v>0.959920425763368</v>
      </c>
      <c r="G428" s="27" t="n">
        <f aca="false">'Visitor Economics'!$B$5*B428</f>
        <v>29886.5040591744</v>
      </c>
      <c r="H428" s="29" t="n">
        <f aca="false">MAX(0,'Visitor Economics'!$B$18*B428*C428*D428)</f>
        <v>756448.541522738</v>
      </c>
      <c r="I428" s="29" t="n">
        <f aca="false">H428*Controls!$B$52</f>
        <v>1074156.92896229</v>
      </c>
      <c r="J428" s="29" t="n">
        <f aca="false">'City Fiscal'!$B$5+(H428*Controls!$B$56*Controls!$B$55)+('City Fiscal'!$B$9*B428*F428)</f>
        <v>144395.079201938</v>
      </c>
      <c r="K428" s="29" t="n">
        <f aca="false">J428-('City Fiscal'!$B$13*E428)</f>
        <v>18497.9937064919</v>
      </c>
      <c r="L428" s="30" t="n">
        <f aca="false">'Mobility &amp; Emissions'!$B$21*B428*F428</f>
        <v>83.1540975345262</v>
      </c>
    </row>
    <row r="429" customFormat="false" ht="15" hidden="false" customHeight="true" outlineLevel="0" collapsed="false">
      <c r="A429" s="14" t="n">
        <v>425</v>
      </c>
      <c r="B429" s="47" t="n">
        <v>0.951853099850397</v>
      </c>
      <c r="C429" s="47" t="n">
        <v>0.885107603242632</v>
      </c>
      <c r="D429" s="47" t="n">
        <v>1.06910292981919</v>
      </c>
      <c r="E429" s="47" t="n">
        <v>0.918949987367356</v>
      </c>
      <c r="F429" s="47" t="n">
        <v>0.984080199880519</v>
      </c>
      <c r="G429" s="27" t="n">
        <f aca="false">'Visitor Economics'!$B$5*B429</f>
        <v>30649.6698151828</v>
      </c>
      <c r="H429" s="29" t="n">
        <f aca="false">MAX(0,'Visitor Economics'!$B$18*B429*C429*D429)</f>
        <v>651748.723585083</v>
      </c>
      <c r="I429" s="29" t="n">
        <f aca="false">H429*Controls!$B$52</f>
        <v>925483.187490818</v>
      </c>
      <c r="J429" s="29" t="n">
        <f aca="false">'City Fiscal'!$B$5+(H429*Controls!$B$56*Controls!$B$55)+('City Fiscal'!$B$9*B429*F429)</f>
        <v>148568.540449734</v>
      </c>
      <c r="K429" s="29" t="n">
        <f aca="false">J429-('City Fiscal'!$B$13*E429)</f>
        <v>47484.0418393247</v>
      </c>
      <c r="L429" s="30" t="n">
        <f aca="false">'Mobility &amp; Emissions'!$B$21*B429*F429</f>
        <v>87.4237836743943</v>
      </c>
    </row>
    <row r="430" customFormat="false" ht="15" hidden="false" customHeight="true" outlineLevel="0" collapsed="false">
      <c r="A430" s="14" t="n">
        <v>426</v>
      </c>
      <c r="B430" s="47" t="n">
        <v>0.914262429592198</v>
      </c>
      <c r="C430" s="47" t="n">
        <v>0.92169070754007</v>
      </c>
      <c r="D430" s="47" t="n">
        <v>0.894368264829016</v>
      </c>
      <c r="E430" s="47" t="n">
        <v>1.17137907403242</v>
      </c>
      <c r="F430" s="47" t="n">
        <v>1.02786278208507</v>
      </c>
      <c r="G430" s="27" t="n">
        <f aca="false">'Visitor Economics'!$B$5*B430</f>
        <v>29439.2502328688</v>
      </c>
      <c r="H430" s="29" t="n">
        <f aca="false">MAX(0,'Visitor Economics'!$B$18*B430*C430*D430)</f>
        <v>545339.722116563</v>
      </c>
      <c r="I430" s="29" t="n">
        <f aca="false">H430*Controls!$B$52</f>
        <v>774382.405405519</v>
      </c>
      <c r="J430" s="29" t="n">
        <f aca="false">'City Fiscal'!$B$5+(H430*Controls!$B$56*Controls!$B$55)+('City Fiscal'!$B$9*B430*F430)</f>
        <v>148201.061298644</v>
      </c>
      <c r="K430" s="29" t="n">
        <f aca="false">J430-('City Fiscal'!$B$13*E430)</f>
        <v>19349.363155078</v>
      </c>
      <c r="L430" s="30" t="n">
        <f aca="false">'Mobility &amp; Emissions'!$B$21*B430*F430</f>
        <v>87.7071887114094</v>
      </c>
    </row>
    <row r="431" customFormat="false" ht="15" hidden="false" customHeight="true" outlineLevel="0" collapsed="false">
      <c r="A431" s="14" t="n">
        <v>427</v>
      </c>
      <c r="B431" s="47" t="n">
        <v>0.910067674692831</v>
      </c>
      <c r="C431" s="47" t="n">
        <v>0.903946411477799</v>
      </c>
      <c r="D431" s="47" t="n">
        <v>0.880920265556527</v>
      </c>
      <c r="E431" s="47" t="n">
        <v>1.01368188812535</v>
      </c>
      <c r="F431" s="47" t="n">
        <v>1.02087796470006</v>
      </c>
      <c r="G431" s="27" t="n">
        <f aca="false">'Visitor Economics'!$B$5*B431</f>
        <v>29304.1791251092</v>
      </c>
      <c r="H431" s="29" t="n">
        <f aca="false">MAX(0,'Visitor Economics'!$B$18*B431*C431*D431)</f>
        <v>524381.841393247</v>
      </c>
      <c r="I431" s="29" t="n">
        <f aca="false">H431*Controls!$B$52</f>
        <v>744622.214778411</v>
      </c>
      <c r="J431" s="29" t="n">
        <f aca="false">'City Fiscal'!$B$5+(H431*Controls!$B$56*Controls!$B$55)+('City Fiscal'!$B$9*B431*F431)</f>
        <v>146933.788840164</v>
      </c>
      <c r="K431" s="29" t="n">
        <f aca="false">J431-('City Fiscal'!$B$13*E431)</f>
        <v>35428.781146376</v>
      </c>
      <c r="L431" s="30" t="n">
        <f aca="false">'Mobility &amp; Emissions'!$B$21*B431*F431</f>
        <v>86.7114991669839</v>
      </c>
    </row>
    <row r="432" customFormat="false" ht="15" hidden="false" customHeight="true" outlineLevel="0" collapsed="false">
      <c r="A432" s="14" t="n">
        <v>428</v>
      </c>
      <c r="B432" s="47" t="n">
        <v>0.940627460668062</v>
      </c>
      <c r="C432" s="47" t="n">
        <v>1.03253572157732</v>
      </c>
      <c r="D432" s="47" t="n">
        <v>1.035520980047</v>
      </c>
      <c r="E432" s="47" t="n">
        <v>1.00127072950696</v>
      </c>
      <c r="F432" s="47" t="n">
        <v>0.958062481925967</v>
      </c>
      <c r="G432" s="27" t="n">
        <f aca="false">'Visitor Economics'!$B$5*B432</f>
        <v>30288.2042335116</v>
      </c>
      <c r="H432" s="29" t="n">
        <f aca="false">MAX(0,'Visitor Economics'!$B$18*B432*C432*D432)</f>
        <v>727740.107629668</v>
      </c>
      <c r="I432" s="29" t="n">
        <f aca="false">H432*Controls!$B$52</f>
        <v>1033390.95283413</v>
      </c>
      <c r="J432" s="29" t="n">
        <f aca="false">'City Fiscal'!$B$5+(H432*Controls!$B$56*Controls!$B$55)+('City Fiscal'!$B$9*B432*F432)</f>
        <v>145293.767446111</v>
      </c>
      <c r="K432" s="29" t="n">
        <f aca="false">J432-('City Fiscal'!$B$13*E432)</f>
        <v>35153.9872003459</v>
      </c>
      <c r="L432" s="30" t="n">
        <f aca="false">'Mobility &amp; Emissions'!$B$21*B432*F432</f>
        <v>84.1086501628307</v>
      </c>
    </row>
    <row r="433" customFormat="false" ht="15" hidden="false" customHeight="true" outlineLevel="0" collapsed="false">
      <c r="A433" s="14" t="n">
        <v>429</v>
      </c>
      <c r="B433" s="47" t="n">
        <v>0.917110174677155</v>
      </c>
      <c r="C433" s="47" t="n">
        <v>0.972469669114877</v>
      </c>
      <c r="D433" s="47" t="n">
        <v>0.959756780122476</v>
      </c>
      <c r="E433" s="47" t="n">
        <v>0.990707644820026</v>
      </c>
      <c r="F433" s="47" t="n">
        <v>1.0503882537047</v>
      </c>
      <c r="G433" s="27" t="n">
        <f aca="false">'Visitor Economics'!$B$5*B433</f>
        <v>29530.9476246044</v>
      </c>
      <c r="H433" s="29" t="n">
        <f aca="false">MAX(0,'Visitor Economics'!$B$18*B433*C433*D433)</f>
        <v>619374.661990846</v>
      </c>
      <c r="I433" s="29" t="n">
        <f aca="false">H433*Controls!$B$52</f>
        <v>879512.020027001</v>
      </c>
      <c r="J433" s="29" t="n">
        <f aca="false">'City Fiscal'!$B$5+(H433*Controls!$B$56*Controls!$B$55)+('City Fiscal'!$B$9*B433*F433)</f>
        <v>151182.248975196</v>
      </c>
      <c r="K433" s="29" t="n">
        <f aca="false">J433-('City Fiscal'!$B$13*E433)</f>
        <v>42204.4080449929</v>
      </c>
      <c r="L433" s="30" t="n">
        <f aca="false">'Mobility &amp; Emissions'!$B$21*B433*F433</f>
        <v>89.9084570256357</v>
      </c>
    </row>
    <row r="434" customFormat="false" ht="15" hidden="false" customHeight="true" outlineLevel="0" collapsed="false">
      <c r="A434" s="14" t="n">
        <v>430</v>
      </c>
      <c r="B434" s="47" t="n">
        <v>0.915259750110667</v>
      </c>
      <c r="C434" s="47" t="n">
        <v>1.04470059761193</v>
      </c>
      <c r="D434" s="47" t="n">
        <v>1.07040670947945</v>
      </c>
      <c r="E434" s="47" t="n">
        <v>0.883745588082627</v>
      </c>
      <c r="F434" s="47" t="n">
        <v>0.995198140483961</v>
      </c>
      <c r="G434" s="27" t="n">
        <f aca="false">'Visitor Economics'!$B$5*B434</f>
        <v>29471.3639535635</v>
      </c>
      <c r="H434" s="29" t="n">
        <f aca="false">MAX(0,'Visitor Economics'!$B$18*B434*C434*D434)</f>
        <v>740593.164695258</v>
      </c>
      <c r="I434" s="29" t="n">
        <f aca="false">H434*Controls!$B$52</f>
        <v>1051642.29386727</v>
      </c>
      <c r="J434" s="29" t="n">
        <f aca="false">'City Fiscal'!$B$5+(H434*Controls!$B$56*Controls!$B$55)+('City Fiscal'!$B$9*B434*F434)</f>
        <v>146404.225959521</v>
      </c>
      <c r="K434" s="29" t="n">
        <f aca="false">J434-('City Fiscal'!$B$13*E434)</f>
        <v>49192.2112704316</v>
      </c>
      <c r="L434" s="30" t="n">
        <f aca="false">'Mobility &amp; Emissions'!$B$21*B434*F434</f>
        <v>85.0125603820198</v>
      </c>
    </row>
    <row r="435" customFormat="false" ht="15" hidden="false" customHeight="true" outlineLevel="0" collapsed="false">
      <c r="A435" s="14" t="n">
        <v>431</v>
      </c>
      <c r="B435" s="47" t="n">
        <v>0.889445877035181</v>
      </c>
      <c r="C435" s="47" t="n">
        <v>0.913096723895097</v>
      </c>
      <c r="D435" s="47" t="n">
        <v>1.05443351514127</v>
      </c>
      <c r="E435" s="47" t="n">
        <v>0.949747832351836</v>
      </c>
      <c r="F435" s="47" t="n">
        <v>1.03275026652482</v>
      </c>
      <c r="G435" s="27" t="n">
        <f aca="false">'Visitor Economics'!$B$5*B435</f>
        <v>28640.1572405328</v>
      </c>
      <c r="H435" s="29" t="n">
        <f aca="false">MAX(0,'Visitor Economics'!$B$18*B435*C435*D435)</f>
        <v>619655.319025917</v>
      </c>
      <c r="I435" s="29" t="n">
        <f aca="false">H435*Controls!$B$52</f>
        <v>879910.553016802</v>
      </c>
      <c r="J435" s="29" t="n">
        <f aca="false">'City Fiscal'!$B$5+(H435*Controls!$B$56*Controls!$B$55)+('City Fiscal'!$B$9*B435*F435)</f>
        <v>146438.332232102</v>
      </c>
      <c r="K435" s="29" t="n">
        <f aca="false">J435-('City Fiscal'!$B$13*E435)</f>
        <v>41966.0706734003</v>
      </c>
      <c r="L435" s="30" t="n">
        <f aca="false">'Mobility &amp; Emissions'!$B$21*B435*F435</f>
        <v>85.7322098730366</v>
      </c>
    </row>
    <row r="436" customFormat="false" ht="15" hidden="false" customHeight="true" outlineLevel="0" collapsed="false">
      <c r="A436" s="14" t="n">
        <v>432</v>
      </c>
      <c r="B436" s="47" t="n">
        <v>0.863297058771604</v>
      </c>
      <c r="C436" s="47" t="n">
        <v>0.871176166327696</v>
      </c>
      <c r="D436" s="47" t="n">
        <v>1.01738712417409</v>
      </c>
      <c r="E436" s="47" t="n">
        <v>1.08459519354021</v>
      </c>
      <c r="F436" s="47" t="n">
        <v>0.910559887714559</v>
      </c>
      <c r="G436" s="27" t="n">
        <f aca="false">'Visitor Economics'!$B$5*B436</f>
        <v>27798.1652924457</v>
      </c>
      <c r="H436" s="29" t="n">
        <f aca="false">MAX(0,'Visitor Economics'!$B$18*B436*C436*D436)</f>
        <v>553665.105698134</v>
      </c>
      <c r="I436" s="29" t="n">
        <f aca="false">H436*Controls!$B$52</f>
        <v>786204.45009135</v>
      </c>
      <c r="J436" s="29" t="n">
        <f aca="false">'City Fiscal'!$B$5+(H436*Controls!$B$56*Controls!$B$55)+('City Fiscal'!$B$9*B436*F436)</f>
        <v>131958.801628041</v>
      </c>
      <c r="K436" s="29" t="n">
        <f aca="false">J436-('City Fiscal'!$B$13*E436)</f>
        <v>12653.330338618</v>
      </c>
      <c r="L436" s="30" t="n">
        <f aca="false">'Mobility &amp; Emissions'!$B$21*B436*F436</f>
        <v>73.3665255339432</v>
      </c>
    </row>
    <row r="437" customFormat="false" ht="15" hidden="false" customHeight="true" outlineLevel="0" collapsed="false">
      <c r="A437" s="14" t="n">
        <v>433</v>
      </c>
      <c r="B437" s="47" t="n">
        <v>0.96826993137449</v>
      </c>
      <c r="C437" s="47" t="n">
        <v>1.0211364576803</v>
      </c>
      <c r="D437" s="47" t="n">
        <v>0.964581418349735</v>
      </c>
      <c r="E437" s="47" t="n">
        <v>1.09921455640547</v>
      </c>
      <c r="F437" s="47" t="n">
        <v>1.03865593864063</v>
      </c>
      <c r="G437" s="27" t="n">
        <f aca="false">'Visitor Economics'!$B$5*B437</f>
        <v>31178.2917902586</v>
      </c>
      <c r="H437" s="29" t="n">
        <f aca="false">MAX(0,'Visitor Economics'!$B$18*B437*C437*D437)</f>
        <v>690102.798573235</v>
      </c>
      <c r="I437" s="29" t="n">
        <f aca="false">H437*Controls!$B$52</f>
        <v>979945.973973993</v>
      </c>
      <c r="J437" s="29" t="n">
        <f aca="false">'City Fiscal'!$B$5+(H437*Controls!$B$56*Controls!$B$55)+('City Fiscal'!$B$9*B437*F437)</f>
        <v>156135.07829898</v>
      </c>
      <c r="K437" s="29" t="n">
        <f aca="false">J437-('City Fiscal'!$B$13*E437)</f>
        <v>35221.4770943781</v>
      </c>
      <c r="L437" s="30" t="n">
        <f aca="false">'Mobility &amp; Emissions'!$B$21*B437*F437</f>
        <v>93.8636267045182</v>
      </c>
    </row>
    <row r="438" customFormat="false" ht="15" hidden="false" customHeight="true" outlineLevel="0" collapsed="false">
      <c r="A438" s="14" t="n">
        <v>434</v>
      </c>
      <c r="B438" s="47" t="n">
        <v>0.923439138363414</v>
      </c>
      <c r="C438" s="47" t="n">
        <v>0.990208695430051</v>
      </c>
      <c r="D438" s="47" t="n">
        <v>1.08867346777421</v>
      </c>
      <c r="E438" s="47" t="n">
        <v>0.952112452100474</v>
      </c>
      <c r="F438" s="47" t="n">
        <v>0.958892148477289</v>
      </c>
      <c r="G438" s="27" t="n">
        <f aca="false">'Visitor Economics'!$B$5*B438</f>
        <v>29734.7402553019</v>
      </c>
      <c r="H438" s="29" t="n">
        <f aca="false">MAX(0,'Visitor Economics'!$B$18*B438*C438*D438)</f>
        <v>720323.065413417</v>
      </c>
      <c r="I438" s="29" t="n">
        <f aca="false">H438*Controls!$B$52</f>
        <v>1022858.75288705</v>
      </c>
      <c r="J438" s="29" t="n">
        <f aca="false">'City Fiscal'!$B$5+(H438*Controls!$B$56*Controls!$B$55)+('City Fiscal'!$B$9*B438*F438)</f>
        <v>143580.440501638</v>
      </c>
      <c r="K438" s="29" t="n">
        <f aca="false">J438-('City Fiscal'!$B$13*E438)</f>
        <v>38848.0707705859</v>
      </c>
      <c r="L438" s="30" t="n">
        <f aca="false">'Mobility &amp; Emissions'!$B$21*B438*F438</f>
        <v>82.643217393228</v>
      </c>
    </row>
    <row r="439" customFormat="false" ht="15" hidden="false" customHeight="true" outlineLevel="0" collapsed="false">
      <c r="A439" s="14" t="n">
        <v>435</v>
      </c>
      <c r="B439" s="47" t="n">
        <v>0.936789423749141</v>
      </c>
      <c r="C439" s="47" t="n">
        <v>0.925085679328822</v>
      </c>
      <c r="D439" s="47" t="n">
        <v>1.01562583333482</v>
      </c>
      <c r="E439" s="47" t="n">
        <v>1.10173081911604</v>
      </c>
      <c r="F439" s="47" t="n">
        <v>1.04815452881939</v>
      </c>
      <c r="G439" s="27" t="n">
        <f aca="false">'Visitor Economics'!$B$5*B439</f>
        <v>30164.6194447223</v>
      </c>
      <c r="H439" s="29" t="n">
        <f aca="false">MAX(0,'Visitor Economics'!$B$18*B439*C439*D439)</f>
        <v>636872.278465674</v>
      </c>
      <c r="I439" s="29" t="n">
        <f aca="false">H439*Controls!$B$52</f>
        <v>904358.635421257</v>
      </c>
      <c r="J439" s="29" t="n">
        <f aca="false">'City Fiscal'!$B$5+(H439*Controls!$B$56*Controls!$B$55)+('City Fiscal'!$B$9*B439*F439)</f>
        <v>153266.027161578</v>
      </c>
      <c r="K439" s="29" t="n">
        <f aca="false">J439-('City Fiscal'!$B$13*E439)</f>
        <v>32075.6370588135</v>
      </c>
      <c r="L439" s="30" t="n">
        <f aca="false">'Mobility &amp; Emissions'!$B$21*B439*F439</f>
        <v>91.6424034214659</v>
      </c>
    </row>
    <row r="440" customFormat="false" ht="15" hidden="false" customHeight="true" outlineLevel="0" collapsed="false">
      <c r="A440" s="14" t="n">
        <v>436</v>
      </c>
      <c r="B440" s="47" t="n">
        <v>0.913635324671286</v>
      </c>
      <c r="C440" s="47" t="n">
        <v>1.03632204591411</v>
      </c>
      <c r="D440" s="47" t="n">
        <v>1.02095033289699</v>
      </c>
      <c r="E440" s="47" t="n">
        <v>1.0102944514618</v>
      </c>
      <c r="F440" s="47" t="n">
        <v>0.987559078217325</v>
      </c>
      <c r="G440" s="27" t="n">
        <f aca="false">'Visitor Economics'!$B$5*B440</f>
        <v>29419.0574544154</v>
      </c>
      <c r="H440" s="29" t="n">
        <f aca="false">MAX(0,'Visitor Economics'!$B$18*B440*C440*D440)</f>
        <v>699466.475991392</v>
      </c>
      <c r="I440" s="29" t="n">
        <f aca="false">H440*Controls!$B$52</f>
        <v>993242.395907777</v>
      </c>
      <c r="J440" s="29" t="n">
        <f aca="false">'City Fiscal'!$B$5+(H440*Controls!$B$56*Controls!$B$55)+('City Fiscal'!$B$9*B440*F440)</f>
        <v>145226.050120165</v>
      </c>
      <c r="K440" s="29" t="n">
        <f aca="false">J440-('City Fiscal'!$B$13*E440)</f>
        <v>34093.6604593671</v>
      </c>
      <c r="L440" s="30" t="n">
        <f aca="false">'Mobility &amp; Emissions'!$B$21*B440*F440</f>
        <v>84.210286473052</v>
      </c>
    </row>
    <row r="441" customFormat="false" ht="15" hidden="false" customHeight="true" outlineLevel="0" collapsed="false">
      <c r="A441" s="14" t="n">
        <v>437</v>
      </c>
      <c r="B441" s="47" t="n">
        <v>0.873376656611811</v>
      </c>
      <c r="C441" s="47" t="n">
        <v>1.05067467995025</v>
      </c>
      <c r="D441" s="47" t="n">
        <v>1.14518468623336</v>
      </c>
      <c r="E441" s="47" t="n">
        <v>0.860793381816172</v>
      </c>
      <c r="F441" s="47" t="n">
        <v>1.01162550813101</v>
      </c>
      <c r="G441" s="27" t="n">
        <f aca="false">'Visitor Economics'!$B$5*B441</f>
        <v>28122.7283429003</v>
      </c>
      <c r="H441" s="29" t="n">
        <f aca="false">MAX(0,'Visitor Economics'!$B$18*B441*C441*D441)</f>
        <v>760396.392580419</v>
      </c>
      <c r="I441" s="29" t="n">
        <f aca="false">H441*Controls!$B$52</f>
        <v>1079762.87746419</v>
      </c>
      <c r="J441" s="29" t="n">
        <f aca="false">'City Fiscal'!$B$5+(H441*Controls!$B$56*Controls!$B$55)+('City Fiscal'!$B$9*B441*F441)</f>
        <v>143633.46704521</v>
      </c>
      <c r="K441" s="29" t="n">
        <f aca="false">J441-('City Fiscal'!$B$13*E441)</f>
        <v>48946.1950454309</v>
      </c>
      <c r="L441" s="30" t="n">
        <f aca="false">'Mobility &amp; Emissions'!$B$21*B441*F441</f>
        <v>82.4613666107341</v>
      </c>
    </row>
    <row r="442" customFormat="false" ht="15" hidden="false" customHeight="true" outlineLevel="0" collapsed="false">
      <c r="A442" s="14" t="n">
        <v>438</v>
      </c>
      <c r="B442" s="47" t="n">
        <v>0.851816432659942</v>
      </c>
      <c r="C442" s="47" t="n">
        <v>0.91679359482941</v>
      </c>
      <c r="D442" s="47" t="n">
        <v>0.916993065517931</v>
      </c>
      <c r="E442" s="47" t="n">
        <v>0.993183428768459</v>
      </c>
      <c r="F442" s="47" t="n">
        <v>1.00683052001212</v>
      </c>
      <c r="G442" s="27" t="n">
        <f aca="false">'Visitor Economics'!$B$5*B442</f>
        <v>27428.4891316501</v>
      </c>
      <c r="H442" s="29" t="n">
        <f aca="false">MAX(0,'Visitor Economics'!$B$18*B442*C442*D442)</f>
        <v>518177.206509189</v>
      </c>
      <c r="I442" s="29" t="n">
        <f aca="false">H442*Controls!$B$52</f>
        <v>735811.633243048</v>
      </c>
      <c r="J442" s="29" t="n">
        <f aca="false">'City Fiscal'!$B$5+(H442*Controls!$B$56*Controls!$B$55)+('City Fiscal'!$B$9*B442*F442)</f>
        <v>139317.4612177</v>
      </c>
      <c r="K442" s="29" t="n">
        <f aca="false">J442-('City Fiscal'!$B$13*E442)</f>
        <v>30067.2840531698</v>
      </c>
      <c r="L442" s="30" t="n">
        <f aca="false">'Mobility &amp; Emissions'!$B$21*B442*F442</f>
        <v>80.0445121691783</v>
      </c>
    </row>
    <row r="443" customFormat="false" ht="15" hidden="false" customHeight="true" outlineLevel="0" collapsed="false">
      <c r="A443" s="14" t="n">
        <v>439</v>
      </c>
      <c r="B443" s="47" t="n">
        <v>0.960502100877426</v>
      </c>
      <c r="C443" s="47" t="n">
        <v>0.926869078783341</v>
      </c>
      <c r="D443" s="47" t="n">
        <v>1.12335581339833</v>
      </c>
      <c r="E443" s="47" t="n">
        <v>1.08524639609405</v>
      </c>
      <c r="F443" s="47" t="n">
        <v>0.982221405226234</v>
      </c>
      <c r="G443" s="27" t="n">
        <f aca="false">'Visitor Economics'!$B$5*B443</f>
        <v>30928.1676482531</v>
      </c>
      <c r="H443" s="29" t="n">
        <f aca="false">MAX(0,'Visitor Economics'!$B$18*B443*C443*D443)</f>
        <v>723650.255449479</v>
      </c>
      <c r="I443" s="29" t="n">
        <f aca="false">H443*Controls!$B$52</f>
        <v>1027583.36273826</v>
      </c>
      <c r="J443" s="29" t="n">
        <f aca="false">'City Fiscal'!$B$5+(H443*Controls!$B$56*Controls!$B$55)+('City Fiscal'!$B$9*B443*F443)</f>
        <v>149747.80658069</v>
      </c>
      <c r="K443" s="29" t="n">
        <f aca="false">J443-('City Fiscal'!$B$13*E443)</f>
        <v>30370.7030103449</v>
      </c>
      <c r="L443" s="30" t="n">
        <f aca="false">'Mobility &amp; Emissions'!$B$21*B443*F443</f>
        <v>88.0515265743324</v>
      </c>
    </row>
    <row r="444" customFormat="false" ht="15" hidden="false" customHeight="true" outlineLevel="0" collapsed="false">
      <c r="A444" s="14" t="n">
        <v>440</v>
      </c>
      <c r="B444" s="47" t="n">
        <v>0.826190908196311</v>
      </c>
      <c r="C444" s="47" t="n">
        <v>1.07908545490904</v>
      </c>
      <c r="D444" s="47" t="n">
        <v>1.0723803220361</v>
      </c>
      <c r="E444" s="47" t="n">
        <v>1.11987986320327</v>
      </c>
      <c r="F444" s="47" t="n">
        <v>1.0002251690036</v>
      </c>
      <c r="G444" s="27" t="n">
        <f aca="false">'Visitor Economics'!$B$5*B444</f>
        <v>26603.3472439212</v>
      </c>
      <c r="H444" s="29" t="n">
        <f aca="false">MAX(0,'Visitor Economics'!$B$18*B444*C444*D444)</f>
        <v>691798.722820973</v>
      </c>
      <c r="I444" s="29" t="n">
        <f aca="false">H444*Controls!$B$52</f>
        <v>982354.186405782</v>
      </c>
      <c r="J444" s="29" t="n">
        <f aca="false">'City Fiscal'!$B$5+(H444*Controls!$B$56*Controls!$B$55)+('City Fiscal'!$B$9*B444*F444)</f>
        <v>137127.361091819</v>
      </c>
      <c r="K444" s="29" t="n">
        <f aca="false">J444-('City Fiscal'!$B$13*E444)</f>
        <v>13940.5761394597</v>
      </c>
      <c r="L444" s="30" t="n">
        <f aca="false">'Mobility &amp; Emissions'!$B$21*B444*F444</f>
        <v>77.1271647237868</v>
      </c>
    </row>
    <row r="445" customFormat="false" ht="15" hidden="false" customHeight="true" outlineLevel="0" collapsed="false">
      <c r="A445" s="14" t="n">
        <v>441</v>
      </c>
      <c r="B445" s="47" t="n">
        <v>0.900827149267042</v>
      </c>
      <c r="C445" s="47" t="n">
        <v>1.06075474702561</v>
      </c>
      <c r="D445" s="47" t="n">
        <v>0.947858571422493</v>
      </c>
      <c r="E445" s="47" t="n">
        <v>1.02272538637147</v>
      </c>
      <c r="F445" s="47" t="n">
        <v>1.04705584037936</v>
      </c>
      <c r="G445" s="27" t="n">
        <f aca="false">'Visitor Economics'!$B$5*B445</f>
        <v>29006.6342063988</v>
      </c>
      <c r="H445" s="29" t="n">
        <f aca="false">MAX(0,'Visitor Economics'!$B$18*B445*C445*D445)</f>
        <v>655382.230063362</v>
      </c>
      <c r="I445" s="29" t="n">
        <f aca="false">H445*Controls!$B$52</f>
        <v>930642.766689974</v>
      </c>
      <c r="J445" s="29" t="n">
        <f aca="false">'City Fiscal'!$B$5+(H445*Controls!$B$56*Controls!$B$55)+('City Fiscal'!$B$9*B445*F445)</f>
        <v>149283.221558178</v>
      </c>
      <c r="K445" s="29" t="n">
        <f aca="false">J445-('City Fiscal'!$B$13*E445)</f>
        <v>36783.4290573165</v>
      </c>
      <c r="L445" s="30" t="n">
        <f aca="false">'Mobility &amp; Emissions'!$B$21*B445*F445</f>
        <v>88.0319833424835</v>
      </c>
    </row>
    <row r="446" customFormat="false" ht="15" hidden="false" customHeight="true" outlineLevel="0" collapsed="false">
      <c r="A446" s="14" t="n">
        <v>442</v>
      </c>
      <c r="B446" s="47" t="n">
        <v>0.88680449428746</v>
      </c>
      <c r="C446" s="47" t="n">
        <v>0.993663467660876</v>
      </c>
      <c r="D446" s="47" t="n">
        <v>0.936047108271829</v>
      </c>
      <c r="E446" s="47" t="n">
        <v>1.154691291059</v>
      </c>
      <c r="F446" s="47" t="n">
        <v>0.946863305745778</v>
      </c>
      <c r="G446" s="27" t="n">
        <f aca="false">'Visitor Economics'!$B$5*B446</f>
        <v>28555.1047160562</v>
      </c>
      <c r="H446" s="29" t="n">
        <f aca="false">MAX(0,'Visitor Economics'!$B$18*B446*C446*D446)</f>
        <v>596842.284590811</v>
      </c>
      <c r="I446" s="29" t="n">
        <f aca="false">H446*Controls!$B$52</f>
        <v>847516.044118951</v>
      </c>
      <c r="J446" s="29" t="n">
        <f aca="false">'City Fiscal'!$B$5+(H446*Controls!$B$56*Controls!$B$55)+('City Fiscal'!$B$9*B446*F446)</f>
        <v>137923.228670147</v>
      </c>
      <c r="K446" s="29" t="n">
        <f aca="false">J446-('City Fiscal'!$B$13*E446)</f>
        <v>10907.1866536565</v>
      </c>
      <c r="L446" s="30" t="n">
        <f aca="false">'Mobility &amp; Emissions'!$B$21*B446*F446</f>
        <v>78.3690077860783</v>
      </c>
    </row>
    <row r="447" customFormat="false" ht="15" hidden="false" customHeight="true" outlineLevel="0" collapsed="false">
      <c r="A447" s="14" t="n">
        <v>443</v>
      </c>
      <c r="B447" s="47" t="n">
        <v>0.911352959616447</v>
      </c>
      <c r="C447" s="47" t="n">
        <v>0.999173100659669</v>
      </c>
      <c r="D447" s="47" t="n">
        <v>1.06524678622552</v>
      </c>
      <c r="E447" s="47" t="n">
        <v>0.966819276663523</v>
      </c>
      <c r="F447" s="47" t="n">
        <v>1.06527987252134</v>
      </c>
      <c r="G447" s="27" t="n">
        <f aca="false">'Visitor Economics'!$B$5*B447</f>
        <v>29345.5652996496</v>
      </c>
      <c r="H447" s="29" t="n">
        <f aca="false">MAX(0,'Visitor Economics'!$B$18*B447*C447*D447)</f>
        <v>701895.154209381</v>
      </c>
      <c r="I447" s="29" t="n">
        <f aca="false">H447*Controls!$B$52</f>
        <v>996691.118977321</v>
      </c>
      <c r="J447" s="29" t="n">
        <f aca="false">'City Fiscal'!$B$5+(H447*Controls!$B$56*Controls!$B$55)+('City Fiscal'!$B$9*B447*F447)</f>
        <v>152514.990051768</v>
      </c>
      <c r="K447" s="29" t="n">
        <f aca="false">J447-('City Fiscal'!$B$13*E447)</f>
        <v>46164.8696187804</v>
      </c>
      <c r="L447" s="30" t="n">
        <f aca="false">'Mobility &amp; Emissions'!$B$21*B447*F447</f>
        <v>90.6107043181922</v>
      </c>
    </row>
    <row r="448" customFormat="false" ht="15" hidden="false" customHeight="true" outlineLevel="0" collapsed="false">
      <c r="A448" s="14" t="n">
        <v>444</v>
      </c>
      <c r="B448" s="47" t="n">
        <v>0.94230830160178</v>
      </c>
      <c r="C448" s="47" t="n">
        <v>1.01010004549592</v>
      </c>
      <c r="D448" s="47" t="n">
        <v>1.00033272140707</v>
      </c>
      <c r="E448" s="47" t="n">
        <v>0.995183047125</v>
      </c>
      <c r="F448" s="47" t="n">
        <v>1.00203885645211</v>
      </c>
      <c r="G448" s="27" t="n">
        <f aca="false">'Visitor Economics'!$B$5*B448</f>
        <v>30342.3273115773</v>
      </c>
      <c r="H448" s="29" t="n">
        <f aca="false">MAX(0,'Visitor Economics'!$B$18*B448*C448*D448)</f>
        <v>688964.036319489</v>
      </c>
      <c r="I448" s="29" t="n">
        <f aca="false">H448*Controls!$B$52</f>
        <v>978328.931573675</v>
      </c>
      <c r="J448" s="29" t="n">
        <f aca="false">'City Fiscal'!$B$5+(H448*Controls!$B$56*Controls!$B$55)+('City Fiscal'!$B$9*B448*F448)</f>
        <v>149608.290934424</v>
      </c>
      <c r="K448" s="29" t="n">
        <f aca="false">J448-('City Fiscal'!$B$13*E448)</f>
        <v>40138.1557506739</v>
      </c>
      <c r="L448" s="30" t="n">
        <f aca="false">'Mobility &amp; Emissions'!$B$21*B448*F448</f>
        <v>88.1265475015848</v>
      </c>
    </row>
    <row r="449" customFormat="false" ht="15" hidden="false" customHeight="true" outlineLevel="0" collapsed="false">
      <c r="A449" s="14" t="n">
        <v>445</v>
      </c>
      <c r="B449" s="47" t="n">
        <v>0.907984374046209</v>
      </c>
      <c r="C449" s="47" t="n">
        <v>0.961255088403923</v>
      </c>
      <c r="D449" s="47" t="n">
        <v>0.921083308722187</v>
      </c>
      <c r="E449" s="47" t="n">
        <v>1.02414883219253</v>
      </c>
      <c r="F449" s="47" t="n">
        <v>0.9978089983729</v>
      </c>
      <c r="G449" s="27" t="n">
        <f aca="false">'Visitor Economics'!$B$5*B449</f>
        <v>29237.0968442879</v>
      </c>
      <c r="H449" s="29" t="n">
        <f aca="false">MAX(0,'Visitor Economics'!$B$18*B449*C449*D449)</f>
        <v>581715.463051588</v>
      </c>
      <c r="I449" s="29" t="n">
        <f aca="false">H449*Controls!$B$52</f>
        <v>826035.957533255</v>
      </c>
      <c r="J449" s="29" t="n">
        <f aca="false">'City Fiscal'!$B$5+(H449*Controls!$B$56*Controls!$B$55)+('City Fiscal'!$B$9*B449*F449)</f>
        <v>144858.21115894</v>
      </c>
      <c r="K449" s="29" t="n">
        <f aca="false">J449-('City Fiscal'!$B$13*E449)</f>
        <v>32201.8396177618</v>
      </c>
      <c r="L449" s="30" t="n">
        <f aca="false">'Mobility &amp; Emissions'!$B$21*B449*F449</f>
        <v>84.5580515633619</v>
      </c>
    </row>
    <row r="450" customFormat="false" ht="15" hidden="false" customHeight="true" outlineLevel="0" collapsed="false">
      <c r="A450" s="14" t="n">
        <v>446</v>
      </c>
      <c r="B450" s="47" t="n">
        <v>0.912752401108229</v>
      </c>
      <c r="C450" s="47" t="n">
        <v>1.05145804204723</v>
      </c>
      <c r="D450" s="47" t="n">
        <v>0.946932022092827</v>
      </c>
      <c r="E450" s="47" t="n">
        <v>0.887289672313067</v>
      </c>
      <c r="F450" s="47" t="n">
        <v>1.08618385784145</v>
      </c>
      <c r="G450" s="27" t="n">
        <f aca="false">'Visitor Economics'!$B$5*B450</f>
        <v>29390.627315685</v>
      </c>
      <c r="H450" s="29" t="n">
        <f aca="false">MAX(0,'Visitor Economics'!$B$18*B450*C450*D450)</f>
        <v>657594.850845319</v>
      </c>
      <c r="I450" s="29" t="n">
        <f aca="false">H450*Controls!$B$52</f>
        <v>933784.688200353</v>
      </c>
      <c r="J450" s="29" t="n">
        <f aca="false">'City Fiscal'!$B$5+(H450*Controls!$B$56*Controls!$B$55)+('City Fiscal'!$B$9*B450*F450)</f>
        <v>154409.654352497</v>
      </c>
      <c r="K450" s="29" t="n">
        <f aca="false">J450-('City Fiscal'!$B$13*E450)</f>
        <v>56807.7903980593</v>
      </c>
      <c r="L450" s="30" t="n">
        <f aca="false">'Mobility &amp; Emissions'!$B$21*B450*F450</f>
        <v>92.5306269527367</v>
      </c>
    </row>
    <row r="451" customFormat="false" ht="15" hidden="false" customHeight="true" outlineLevel="0" collapsed="false">
      <c r="A451" s="14" t="n">
        <v>447</v>
      </c>
      <c r="B451" s="47" t="n">
        <v>0.969443101360942</v>
      </c>
      <c r="C451" s="47" t="n">
        <v>1.02541670337739</v>
      </c>
      <c r="D451" s="47" t="n">
        <v>1.19745240252876</v>
      </c>
      <c r="E451" s="47" t="n">
        <v>1.15082212948445</v>
      </c>
      <c r="F451" s="47" t="n">
        <v>1.0113006849332</v>
      </c>
      <c r="G451" s="27" t="n">
        <f aca="false">'Visitor Economics'!$B$5*B451</f>
        <v>31216.0678638223</v>
      </c>
      <c r="H451" s="29" t="n">
        <f aca="false">MAX(0,'Visitor Economics'!$B$18*B451*C451*D451)</f>
        <v>861342.033483776</v>
      </c>
      <c r="I451" s="29" t="n">
        <f aca="false">H451*Controls!$B$52</f>
        <v>1223105.68754696</v>
      </c>
      <c r="J451" s="29" t="n">
        <f aca="false">'City Fiscal'!$B$5+(H451*Controls!$B$56*Controls!$B$55)+('City Fiscal'!$B$9*B451*F451)</f>
        <v>154561.332862698</v>
      </c>
      <c r="K451" s="29" t="n">
        <f aca="false">J451-('City Fiscal'!$B$13*E451)</f>
        <v>27970.8986194086</v>
      </c>
      <c r="L451" s="30" t="n">
        <f aca="false">'Mobility &amp; Emissions'!$B$21*B451*F451</f>
        <v>91.5022561074365</v>
      </c>
    </row>
    <row r="452" customFormat="false" ht="15" hidden="false" customHeight="true" outlineLevel="0" collapsed="false">
      <c r="A452" s="14" t="n">
        <v>448</v>
      </c>
      <c r="B452" s="47" t="n">
        <v>0.986236113967732</v>
      </c>
      <c r="C452" s="47" t="n">
        <v>0.95419761547807</v>
      </c>
      <c r="D452" s="47" t="n">
        <v>1.04997812619616</v>
      </c>
      <c r="E452" s="47" t="n">
        <v>1.18083534139461</v>
      </c>
      <c r="F452" s="47" t="n">
        <v>1.03765010013356</v>
      </c>
      <c r="G452" s="27" t="n">
        <f aca="false">'Visitor Economics'!$B$5*B452</f>
        <v>31756.802869761</v>
      </c>
      <c r="H452" s="29" t="n">
        <f aca="false">MAX(0,'Visitor Economics'!$B$18*B452*C452*D452)</f>
        <v>714980.42162104</v>
      </c>
      <c r="I452" s="29" t="n">
        <f aca="false">H452*Controls!$B$52</f>
        <v>1015272.19870188</v>
      </c>
      <c r="J452" s="29" t="n">
        <f aca="false">'City Fiscal'!$B$5+(H452*Controls!$B$56*Controls!$B$55)+('City Fiscal'!$B$9*B452*F452)</f>
        <v>158170.204258125</v>
      </c>
      <c r="K452" s="29" t="n">
        <f aca="false">J452-('City Fiscal'!$B$13*E452)</f>
        <v>28278.3167047178</v>
      </c>
      <c r="L452" s="30" t="n">
        <f aca="false">'Mobility &amp; Emissions'!$B$21*B452*F452</f>
        <v>95.5126753908981</v>
      </c>
    </row>
    <row r="453" customFormat="false" ht="15" hidden="false" customHeight="true" outlineLevel="0" collapsed="false">
      <c r="A453" s="14" t="n">
        <v>449</v>
      </c>
      <c r="B453" s="47" t="n">
        <v>0.859160596258492</v>
      </c>
      <c r="C453" s="47" t="n">
        <v>1.06786555840905</v>
      </c>
      <c r="D453" s="47" t="n">
        <v>1.0136289992406</v>
      </c>
      <c r="E453" s="47" t="n">
        <v>0.962267705400769</v>
      </c>
      <c r="F453" s="47" t="n">
        <v>1.04793384498278</v>
      </c>
      <c r="G453" s="27" t="n">
        <f aca="false">'Visitor Economics'!$B$5*B453</f>
        <v>27664.9711995234</v>
      </c>
      <c r="H453" s="29" t="n">
        <f aca="false">MAX(0,'Visitor Economics'!$B$18*B453*C453*D453)</f>
        <v>672921.844662335</v>
      </c>
      <c r="I453" s="29" t="n">
        <f aca="false">H453*Controls!$B$52</f>
        <v>955549.019420515</v>
      </c>
      <c r="J453" s="29" t="n">
        <f aca="false">'City Fiscal'!$B$5+(H453*Controls!$B$56*Controls!$B$55)+('City Fiscal'!$B$9*B453*F453)</f>
        <v>144849.836244159</v>
      </c>
      <c r="K453" s="29" t="n">
        <f aca="false">J453-('City Fiscal'!$B$13*E453)</f>
        <v>39000.3886500743</v>
      </c>
      <c r="L453" s="30" t="n">
        <f aca="false">'Mobility &amp; Emissions'!$B$21*B453*F453</f>
        <v>84.0305863678573</v>
      </c>
    </row>
    <row r="454" customFormat="false" ht="15" hidden="false" customHeight="true" outlineLevel="0" collapsed="false">
      <c r="A454" s="14" t="n">
        <v>450</v>
      </c>
      <c r="B454" s="47" t="n">
        <v>0.931478816094677</v>
      </c>
      <c r="C454" s="47" t="n">
        <v>0.973528498983088</v>
      </c>
      <c r="D454" s="47" t="n">
        <v>0.952416646528112</v>
      </c>
      <c r="E454" s="47" t="n">
        <v>1.18006252792673</v>
      </c>
      <c r="F454" s="47" t="n">
        <v>0.948017855516227</v>
      </c>
      <c r="G454" s="27" t="n">
        <f aca="false">'Visitor Economics'!$B$5*B454</f>
        <v>29993.6178782486</v>
      </c>
      <c r="H454" s="29" t="n">
        <f aca="false">MAX(0,'Visitor Economics'!$B$18*B454*C454*D454)</f>
        <v>624947.160446088</v>
      </c>
      <c r="I454" s="29" t="n">
        <f aca="false">H454*Controls!$B$52</f>
        <v>887424.967833445</v>
      </c>
      <c r="J454" s="29" t="n">
        <f aca="false">'City Fiscal'!$B$5+(H454*Controls!$B$56*Controls!$B$55)+('City Fiscal'!$B$9*B454*F454)</f>
        <v>142705.743556929</v>
      </c>
      <c r="K454" s="29" t="n">
        <f aca="false">J454-('City Fiscal'!$B$13*E454)</f>
        <v>12898.865484989</v>
      </c>
      <c r="L454" s="30" t="n">
        <f aca="false">'Mobility &amp; Emissions'!$B$21*B454*F454</f>
        <v>82.41735564237</v>
      </c>
    </row>
    <row r="455" customFormat="false" ht="15" hidden="false" customHeight="true" outlineLevel="0" collapsed="false">
      <c r="A455" s="14" t="n">
        <v>451</v>
      </c>
      <c r="B455" s="47" t="n">
        <v>0.887431838856086</v>
      </c>
      <c r="C455" s="47" t="n">
        <v>0.876204981985586</v>
      </c>
      <c r="D455" s="47" t="n">
        <v>1.15094824585097</v>
      </c>
      <c r="E455" s="47" t="n">
        <v>1.01345454982182</v>
      </c>
      <c r="F455" s="47" t="n">
        <v>1.0396709467094</v>
      </c>
      <c r="G455" s="27" t="n">
        <f aca="false">'Visitor Economics'!$B$5*B455</f>
        <v>28575.305211166</v>
      </c>
      <c r="H455" s="29" t="n">
        <f aca="false">MAX(0,'Visitor Economics'!$B$18*B455*C455*D455)</f>
        <v>647576.66251405</v>
      </c>
      <c r="I455" s="29" t="n">
        <f aca="false">H455*Controls!$B$52</f>
        <v>919558.860769951</v>
      </c>
      <c r="J455" s="29" t="n">
        <f aca="false">'City Fiscal'!$B$5+(H455*Controls!$B$56*Controls!$B$55)+('City Fiscal'!$B$9*B455*F455)</f>
        <v>147050.034307337</v>
      </c>
      <c r="K455" s="29" t="n">
        <f aca="false">J455-('City Fiscal'!$B$13*E455)</f>
        <v>35570.0338269369</v>
      </c>
      <c r="L455" s="30" t="n">
        <f aca="false">'Mobility &amp; Emissions'!$B$21*B455*F455</f>
        <v>86.1112890301365</v>
      </c>
    </row>
    <row r="456" customFormat="false" ht="15" hidden="false" customHeight="true" outlineLevel="0" collapsed="false">
      <c r="A456" s="14" t="n">
        <v>452</v>
      </c>
      <c r="B456" s="47" t="n">
        <v>0.892623265802409</v>
      </c>
      <c r="C456" s="47" t="n">
        <v>0.959330542236798</v>
      </c>
      <c r="D456" s="47" t="n">
        <v>0.945688563274597</v>
      </c>
      <c r="E456" s="47" t="n">
        <v>1.02131080042993</v>
      </c>
      <c r="F456" s="47" t="n">
        <v>1.08761009697074</v>
      </c>
      <c r="G456" s="27" t="n">
        <f aca="false">'Visitor Economics'!$B$5*B456</f>
        <v>28742.4691588376</v>
      </c>
      <c r="H456" s="29" t="n">
        <f aca="false">MAX(0,'Visitor Economics'!$B$18*B456*C456*D456)</f>
        <v>585975.259655301</v>
      </c>
      <c r="I456" s="29" t="n">
        <f aca="false">H456*Controls!$B$52</f>
        <v>832084.868710527</v>
      </c>
      <c r="J456" s="29" t="n">
        <f aca="false">'City Fiscal'!$B$5+(H456*Controls!$B$56*Controls!$B$55)+('City Fiscal'!$B$9*B456*F456)</f>
        <v>151761.719842407</v>
      </c>
      <c r="K456" s="29" t="n">
        <f aca="false">J456-('City Fiscal'!$B$13*E456)</f>
        <v>39417.5317951147</v>
      </c>
      <c r="L456" s="30" t="n">
        <f aca="false">'Mobility &amp; Emissions'!$B$21*B456*F456</f>
        <v>90.6088481406598</v>
      </c>
    </row>
    <row r="457" customFormat="false" ht="15" hidden="false" customHeight="true" outlineLevel="0" collapsed="false">
      <c r="A457" s="14" t="n">
        <v>453</v>
      </c>
      <c r="B457" s="47" t="n">
        <v>0.971875162337936</v>
      </c>
      <c r="C457" s="47" t="n">
        <v>1.10877502783968</v>
      </c>
      <c r="D457" s="47" t="n">
        <v>0.865379739985549</v>
      </c>
      <c r="E457" s="47" t="n">
        <v>0.99496199587339</v>
      </c>
      <c r="F457" s="47" t="n">
        <v>1.02192775476318</v>
      </c>
      <c r="G457" s="27" t="n">
        <f aca="false">'Visitor Economics'!$B$5*B457</f>
        <v>31294.3802272815</v>
      </c>
      <c r="H457" s="29" t="n">
        <f aca="false">MAX(0,'Visitor Economics'!$B$18*B457*C457*D457)</f>
        <v>674769.295393904</v>
      </c>
      <c r="I457" s="29" t="n">
        <f aca="false">H457*Controls!$B$52</f>
        <v>958172.399459343</v>
      </c>
      <c r="J457" s="29" t="n">
        <f aca="false">'City Fiscal'!$B$5+(H457*Controls!$B$56*Controls!$B$55)+('City Fiscal'!$B$9*B457*F457)</f>
        <v>154708.592194712</v>
      </c>
      <c r="K457" s="29" t="n">
        <f aca="false">J457-('City Fiscal'!$B$13*E457)</f>
        <v>45262.7726486394</v>
      </c>
      <c r="L457" s="30" t="n">
        <f aca="false">'Mobility &amp; Emissions'!$B$21*B457*F457</f>
        <v>92.6957567012926</v>
      </c>
    </row>
    <row r="458" customFormat="false" ht="15" hidden="false" customHeight="true" outlineLevel="0" collapsed="false">
      <c r="A458" s="14" t="n">
        <v>454</v>
      </c>
      <c r="B458" s="47" t="n">
        <v>0.891272638146132</v>
      </c>
      <c r="C458" s="47" t="n">
        <v>1.06136553914292</v>
      </c>
      <c r="D458" s="47" t="n">
        <v>1.02692770230259</v>
      </c>
      <c r="E458" s="47" t="n">
        <v>0.9916120625131</v>
      </c>
      <c r="F458" s="47" t="n">
        <v>0.987885822331377</v>
      </c>
      <c r="G458" s="27" t="n">
        <f aca="false">'Visitor Economics'!$B$5*B458</f>
        <v>28698.9789483055</v>
      </c>
      <c r="H458" s="29" t="n">
        <f aca="false">MAX(0,'Visitor Economics'!$B$18*B458*C458*D458)</f>
        <v>702926.790376148</v>
      </c>
      <c r="I458" s="29" t="n">
        <f aca="false">H458*Controls!$B$52</f>
        <v>998156.042334129</v>
      </c>
      <c r="J458" s="29" t="n">
        <f aca="false">'City Fiscal'!$B$5+(H458*Controls!$B$56*Controls!$B$55)+('City Fiscal'!$B$9*B458*F458)</f>
        <v>142937.1074673</v>
      </c>
      <c r="K458" s="29" t="n">
        <f aca="false">J458-('City Fiscal'!$B$13*E458)</f>
        <v>33859.7805908594</v>
      </c>
      <c r="L458" s="30" t="n">
        <f aca="false">'Mobility &amp; Emissions'!$B$21*B458*F458</f>
        <v>82.1762848417834</v>
      </c>
    </row>
    <row r="459" customFormat="false" ht="15" hidden="false" customHeight="true" outlineLevel="0" collapsed="false">
      <c r="A459" s="14" t="n">
        <v>455</v>
      </c>
      <c r="B459" s="47" t="n">
        <v>0.918208538086473</v>
      </c>
      <c r="C459" s="47" t="n">
        <v>0.929119200876839</v>
      </c>
      <c r="D459" s="47" t="n">
        <v>1.04390232897968</v>
      </c>
      <c r="E459" s="47" t="n">
        <v>1.02510280126244</v>
      </c>
      <c r="F459" s="47" t="n">
        <v>1.06113212053841</v>
      </c>
      <c r="G459" s="27" t="n">
        <f aca="false">'Visitor Economics'!$B$5*B459</f>
        <v>29566.3149263844</v>
      </c>
      <c r="H459" s="29" t="n">
        <f aca="false">MAX(0,'Visitor Economics'!$B$18*B459*C459*D459)</f>
        <v>644417.458881907</v>
      </c>
      <c r="I459" s="29" t="n">
        <f aca="false">H459*Controls!$B$52</f>
        <v>915072.791612307</v>
      </c>
      <c r="J459" s="29" t="n">
        <f aca="false">'City Fiscal'!$B$5+(H459*Controls!$B$56*Controls!$B$55)+('City Fiscal'!$B$9*B459*F459)</f>
        <v>152513.16839254</v>
      </c>
      <c r="K459" s="29" t="n">
        <f aca="false">J459-('City Fiscal'!$B$13*E459)</f>
        <v>39751.8602536712</v>
      </c>
      <c r="L459" s="30" t="n">
        <f aca="false">'Mobility &amp; Emissions'!$B$21*B459*F459</f>
        <v>90.9368620679067</v>
      </c>
    </row>
    <row r="460" customFormat="false" ht="15" hidden="false" customHeight="true" outlineLevel="0" collapsed="false">
      <c r="A460" s="14" t="n">
        <v>456</v>
      </c>
      <c r="B460" s="47" t="n">
        <v>0.876212265330362</v>
      </c>
      <c r="C460" s="47" t="n">
        <v>1.00944684536387</v>
      </c>
      <c r="D460" s="47" t="n">
        <v>1.09921455640547</v>
      </c>
      <c r="E460" s="47" t="n">
        <v>0.954723049252903</v>
      </c>
      <c r="F460" s="47" t="n">
        <v>1.03179467017093</v>
      </c>
      <c r="G460" s="27" t="n">
        <f aca="false">'Visitor Economics'!$B$5*B460</f>
        <v>28214.0349436377</v>
      </c>
      <c r="H460" s="29" t="n">
        <f aca="false">MAX(0,'Visitor Economics'!$B$18*B460*C460*D460)</f>
        <v>703509.431041857</v>
      </c>
      <c r="I460" s="29" t="n">
        <f aca="false">H460*Controls!$B$52</f>
        <v>998983.392079436</v>
      </c>
      <c r="J460" s="29" t="n">
        <f aca="false">'City Fiscal'!$B$5+(H460*Controls!$B$56*Controls!$B$55)+('City Fiscal'!$B$9*B460*F460)</f>
        <v>145443.396695402</v>
      </c>
      <c r="K460" s="29" t="n">
        <f aca="false">J460-('City Fiscal'!$B$13*E460)</f>
        <v>40423.8612775827</v>
      </c>
      <c r="L460" s="30" t="n">
        <f aca="false">'Mobility &amp; Emissions'!$B$21*B460*F460</f>
        <v>84.3784969123807</v>
      </c>
    </row>
    <row r="461" customFormat="false" ht="15" hidden="false" customHeight="true" outlineLevel="0" collapsed="false">
      <c r="A461" s="14" t="n">
        <v>457</v>
      </c>
      <c r="B461" s="47" t="n">
        <v>0.933814154294339</v>
      </c>
      <c r="C461" s="47" t="n">
        <v>1.05359216913646</v>
      </c>
      <c r="D461" s="47" t="n">
        <v>1.11701973830677</v>
      </c>
      <c r="E461" s="47" t="n">
        <v>0.995844533608526</v>
      </c>
      <c r="F461" s="47" t="n">
        <v>0.980852970925386</v>
      </c>
      <c r="G461" s="27" t="n">
        <f aca="false">'Visitor Economics'!$B$5*B461</f>
        <v>30068.8157682777</v>
      </c>
      <c r="H461" s="29" t="n">
        <f aca="false">MAX(0,'Visitor Economics'!$B$18*B461*C461*D461)</f>
        <v>795222.214350799</v>
      </c>
      <c r="I461" s="29" t="n">
        <f aca="false">H461*Controls!$B$52</f>
        <v>1129215.54437813</v>
      </c>
      <c r="J461" s="29" t="n">
        <f aca="false">'City Fiscal'!$B$5+(H461*Controls!$B$56*Controls!$B$55)+('City Fiscal'!$B$9*B461*F461)</f>
        <v>147295.896172629</v>
      </c>
      <c r="K461" s="29" t="n">
        <f aca="false">J461-('City Fiscal'!$B$13*E461)</f>
        <v>37752.9974756914</v>
      </c>
      <c r="L461" s="30" t="n">
        <f aca="false">'Mobility &amp; Emissions'!$B$21*B461*F461</f>
        <v>85.4857134767998</v>
      </c>
    </row>
    <row r="462" customFormat="false" ht="15" hidden="false" customHeight="true" outlineLevel="0" collapsed="false">
      <c r="A462" s="14" t="n">
        <v>458</v>
      </c>
      <c r="B462" s="47" t="n">
        <v>0.874627691507296</v>
      </c>
      <c r="C462" s="47" t="n">
        <v>1.02890664129587</v>
      </c>
      <c r="D462" s="47" t="n">
        <v>1.11396232139587</v>
      </c>
      <c r="E462" s="47" t="n">
        <v>1.02438694629964</v>
      </c>
      <c r="F462" s="47" t="n">
        <v>1.00249576277273</v>
      </c>
      <c r="G462" s="27" t="n">
        <f aca="false">'Visitor Economics'!$B$5*B462</f>
        <v>28163.0116665349</v>
      </c>
      <c r="H462" s="29" t="n">
        <f aca="false">MAX(0,'Visitor Economics'!$B$18*B462*C462*D462)</f>
        <v>725377.975346169</v>
      </c>
      <c r="I462" s="29" t="n">
        <f aca="false">H462*Controls!$B$52</f>
        <v>1030036.72499156</v>
      </c>
      <c r="J462" s="29" t="n">
        <f aca="false">'City Fiscal'!$B$5+(H462*Controls!$B$56*Controls!$B$55)+('City Fiscal'!$B$9*B462*F462)</f>
        <v>142693.880702749</v>
      </c>
      <c r="K462" s="29" t="n">
        <f aca="false">J462-('City Fiscal'!$B$13*E462)</f>
        <v>30011.3166097882</v>
      </c>
      <c r="L462" s="30" t="n">
        <f aca="false">'Mobility &amp; Emissions'!$B$21*B462*F462</f>
        <v>81.8342196518047</v>
      </c>
    </row>
    <row r="463" customFormat="false" ht="15" hidden="false" customHeight="true" outlineLevel="0" collapsed="false">
      <c r="A463" s="14" t="n">
        <v>459</v>
      </c>
      <c r="B463" s="47" t="n">
        <v>0.947750432527246</v>
      </c>
      <c r="C463" s="47" t="n">
        <v>0.9101498752079</v>
      </c>
      <c r="D463" s="47" t="n">
        <v>1.0094407557378</v>
      </c>
      <c r="E463" s="47" t="n">
        <v>1.15755406985702</v>
      </c>
      <c r="F463" s="47" t="n">
        <v>1.00418333428582</v>
      </c>
      <c r="G463" s="27" t="n">
        <f aca="false">'Visitor Economics'!$B$5*B463</f>
        <v>30517.5639273773</v>
      </c>
      <c r="H463" s="29" t="n">
        <f aca="false">MAX(0,'Visitor Economics'!$B$18*B463*C463*D463)</f>
        <v>630060.726956553</v>
      </c>
      <c r="I463" s="29" t="n">
        <f aca="false">H463*Controls!$B$52</f>
        <v>894686.232278305</v>
      </c>
      <c r="J463" s="29" t="n">
        <f aca="false">'City Fiscal'!$B$5+(H463*Controls!$B$56*Controls!$B$55)+('City Fiscal'!$B$9*B463*F463)</f>
        <v>150020.516855096</v>
      </c>
      <c r="K463" s="29" t="n">
        <f aca="false">J463-('City Fiscal'!$B$13*E463)</f>
        <v>22689.5691708239</v>
      </c>
      <c r="L463" s="30" t="n">
        <f aca="false">'Mobility &amp; Emissions'!$B$21*B463*F463</f>
        <v>88.8251965430875</v>
      </c>
    </row>
    <row r="464" customFormat="false" ht="15" hidden="false" customHeight="true" outlineLevel="0" collapsed="false">
      <c r="A464" s="14" t="n">
        <v>460</v>
      </c>
      <c r="B464" s="47" t="n">
        <v>0.981270166537926</v>
      </c>
      <c r="C464" s="47" t="n">
        <v>0.987005987916601</v>
      </c>
      <c r="D464" s="47" t="n">
        <v>1.09423174264312</v>
      </c>
      <c r="E464" s="47" t="n">
        <v>1.02013862873462</v>
      </c>
      <c r="F464" s="47" t="n">
        <v>0.922405110316883</v>
      </c>
      <c r="G464" s="27" t="n">
        <f aca="false">'Visitor Economics'!$B$5*B464</f>
        <v>31596.8993625212</v>
      </c>
      <c r="H464" s="29" t="n">
        <f aca="false">MAX(0,'Visitor Economics'!$B$18*B464*C464*D464)</f>
        <v>766853.424518671</v>
      </c>
      <c r="I464" s="29" t="n">
        <f aca="false">H464*Controls!$B$52</f>
        <v>1088931.86281651</v>
      </c>
      <c r="J464" s="29" t="n">
        <f aca="false">'City Fiscal'!$B$5+(H464*Controls!$B$56*Controls!$B$55)+('City Fiscal'!$B$9*B464*F464)</f>
        <v>145966.019815988</v>
      </c>
      <c r="K464" s="29" t="n">
        <f aca="false">J464-('City Fiscal'!$B$13*E464)</f>
        <v>33750.7706551802</v>
      </c>
      <c r="L464" s="30" t="n">
        <f aca="false">'Mobility &amp; Emissions'!$B$21*B464*F464</f>
        <v>84.4771924700945</v>
      </c>
    </row>
    <row r="465" customFormat="false" ht="15" hidden="false" customHeight="true" outlineLevel="0" collapsed="false">
      <c r="A465" s="14" t="n">
        <v>461</v>
      </c>
      <c r="B465" s="47" t="n">
        <v>0.913886519112269</v>
      </c>
      <c r="C465" s="47" t="n">
        <v>1.03461850317545</v>
      </c>
      <c r="D465" s="47" t="n">
        <v>1.10845936979086</v>
      </c>
      <c r="E465" s="47" t="n">
        <v>0.914549986779481</v>
      </c>
      <c r="F465" s="47" t="n">
        <v>1.07191350949108</v>
      </c>
      <c r="G465" s="27" t="n">
        <f aca="false">'Visitor Economics'!$B$5*B465</f>
        <v>29427.1459154151</v>
      </c>
      <c r="H465" s="29" t="n">
        <f aca="false">MAX(0,'Visitor Economics'!$B$18*B465*C465*D465)</f>
        <v>758380.155831662</v>
      </c>
      <c r="I465" s="29" t="n">
        <f aca="false">H465*Controls!$B$52</f>
        <v>1076899.82128096</v>
      </c>
      <c r="J465" s="29" t="n">
        <f aca="false">'City Fiscal'!$B$5+(H465*Controls!$B$56*Controls!$B$55)+('City Fiscal'!$B$9*B465*F465)</f>
        <v>153810.229772707</v>
      </c>
      <c r="K465" s="29" t="n">
        <f aca="false">J465-('City Fiscal'!$B$13*E465)</f>
        <v>53209.7312269638</v>
      </c>
      <c r="L465" s="30" t="n">
        <f aca="false">'Mobility &amp; Emissions'!$B$21*B465*F465</f>
        <v>91.4284151993674</v>
      </c>
    </row>
    <row r="466" customFormat="false" ht="15" hidden="false" customHeight="true" outlineLevel="0" collapsed="false">
      <c r="A466" s="14" t="n">
        <v>462</v>
      </c>
      <c r="B466" s="47" t="n">
        <v>0.807495454169735</v>
      </c>
      <c r="C466" s="47" t="n">
        <v>1.03784161637423</v>
      </c>
      <c r="D466" s="47" t="n">
        <v>1.00364913233358</v>
      </c>
      <c r="E466" s="47" t="n">
        <v>1.16935416935762</v>
      </c>
      <c r="F466" s="47" t="n">
        <v>1.02105233619798</v>
      </c>
      <c r="G466" s="27" t="n">
        <f aca="false">'Visitor Economics'!$B$5*B466</f>
        <v>26001.3536242655</v>
      </c>
      <c r="H466" s="29" t="n">
        <f aca="false">MAX(0,'Visitor Economics'!$B$18*B466*C466*D466)</f>
        <v>608622.145462631</v>
      </c>
      <c r="I466" s="29" t="n">
        <f aca="false">H466*Controls!$B$52</f>
        <v>864243.446556937</v>
      </c>
      <c r="J466" s="29" t="n">
        <f aca="false">'City Fiscal'!$B$5+(H466*Controls!$B$56*Controls!$B$55)+('City Fiscal'!$B$9*B466*F466)</f>
        <v>136388.793305516</v>
      </c>
      <c r="K466" s="29" t="n">
        <f aca="false">J466-('City Fiscal'!$B$13*E466)</f>
        <v>7759.83467617791</v>
      </c>
      <c r="L466" s="30" t="n">
        <f aca="false">'Mobility &amp; Emissions'!$B$21*B466*F466</f>
        <v>76.9515311865681</v>
      </c>
    </row>
    <row r="467" customFormat="false" ht="15" hidden="false" customHeight="true" outlineLevel="0" collapsed="false">
      <c r="A467" s="14" t="n">
        <v>463</v>
      </c>
      <c r="B467" s="47" t="n">
        <v>0.915011110653901</v>
      </c>
      <c r="C467" s="47" t="n">
        <v>0.914820883775675</v>
      </c>
      <c r="D467" s="47" t="n">
        <v>1.05323554690951</v>
      </c>
      <c r="E467" s="47" t="n">
        <v>1.11541266775807</v>
      </c>
      <c r="F467" s="47" t="n">
        <v>1.02245588998311</v>
      </c>
      <c r="G467" s="27" t="n">
        <f aca="false">'Visitor Economics'!$B$5*B467</f>
        <v>29463.3577630556</v>
      </c>
      <c r="H467" s="29" t="n">
        <f aca="false">MAX(0,'Visitor Economics'!$B$18*B467*C467*D467)</f>
        <v>637944.085838794</v>
      </c>
      <c r="I467" s="29" t="n">
        <f aca="false">H467*Controls!$B$52</f>
        <v>905880.601891087</v>
      </c>
      <c r="J467" s="29" t="n">
        <f aca="false">'City Fiscal'!$B$5+(H467*Controls!$B$56*Controls!$B$55)+('City Fiscal'!$B$9*B467*F467)</f>
        <v>148358.042683816</v>
      </c>
      <c r="K467" s="29" t="n">
        <f aca="false">J467-('City Fiscal'!$B$13*E467)</f>
        <v>25662.6492304278</v>
      </c>
      <c r="L467" s="30" t="n">
        <f aca="false">'Mobility &amp; Emissions'!$B$21*B467*F467</f>
        <v>87.3172652066705</v>
      </c>
    </row>
    <row r="468" customFormat="false" ht="15" hidden="false" customHeight="true" outlineLevel="0" collapsed="false">
      <c r="A468" s="14" t="n">
        <v>464</v>
      </c>
      <c r="B468" s="47" t="n">
        <v>0.837236352085017</v>
      </c>
      <c r="C468" s="47" t="n">
        <v>1.07294683857593</v>
      </c>
      <c r="D468" s="47" t="n">
        <v>0.927532030420516</v>
      </c>
      <c r="E468" s="47" t="n">
        <v>1.13618545787115</v>
      </c>
      <c r="F468" s="47" t="n">
        <v>0.976658990995507</v>
      </c>
      <c r="G468" s="27" t="n">
        <f aca="false">'Visitor Economics'!$B$5*B468</f>
        <v>26959.0105371375</v>
      </c>
      <c r="H468" s="29" t="n">
        <f aca="false">MAX(0,'Visitor Economics'!$B$18*B468*C468*D468)</f>
        <v>602906.362211853</v>
      </c>
      <c r="I468" s="29" t="n">
        <f aca="false">H468*Controls!$B$52</f>
        <v>856127.034340831</v>
      </c>
      <c r="J468" s="29" t="n">
        <f aca="false">'City Fiscal'!$B$5+(H468*Controls!$B$56*Controls!$B$55)+('City Fiscal'!$B$9*B468*F468)</f>
        <v>135630.480324094</v>
      </c>
      <c r="K468" s="29" t="n">
        <f aca="false">J468-('City Fiscal'!$B$13*E468)</f>
        <v>10650.0799582677</v>
      </c>
      <c r="L468" s="30" t="n">
        <f aca="false">'Mobility &amp; Emissions'!$B$21*B468*F468</f>
        <v>76.316809445326</v>
      </c>
    </row>
    <row r="469" customFormat="false" ht="15" hidden="false" customHeight="true" outlineLevel="0" collapsed="false">
      <c r="A469" s="14" t="n">
        <v>465</v>
      </c>
      <c r="B469" s="47" t="n">
        <v>0.87964336405401</v>
      </c>
      <c r="C469" s="47" t="n">
        <v>0.943073148980596</v>
      </c>
      <c r="D469" s="47" t="n">
        <v>0.883948544963362</v>
      </c>
      <c r="E469" s="47" t="n">
        <v>0.913313986089975</v>
      </c>
      <c r="F469" s="47" t="n">
        <v>0.990632499800011</v>
      </c>
      <c r="G469" s="27" t="n">
        <f aca="false">'Visitor Economics'!$B$5*B469</f>
        <v>28324.5163225391</v>
      </c>
      <c r="H469" s="29" t="n">
        <f aca="false">MAX(0,'Visitor Economics'!$B$18*B469*C469*D469)</f>
        <v>530607.843498695</v>
      </c>
      <c r="I469" s="29" t="n">
        <f aca="false">H469*Controls!$B$52</f>
        <v>753463.137768146</v>
      </c>
      <c r="J469" s="29" t="n">
        <f aca="false">'City Fiscal'!$B$5+(H469*Controls!$B$56*Controls!$B$55)+('City Fiscal'!$B$9*B469*F469)</f>
        <v>140858.284064544</v>
      </c>
      <c r="K469" s="29" t="n">
        <f aca="false">J469-('City Fiscal'!$B$13*E469)</f>
        <v>40393.7455946468</v>
      </c>
      <c r="L469" s="30" t="n">
        <f aca="false">'Mobility &amp; Emissions'!$B$21*B469*F469</f>
        <v>81.3295518100318</v>
      </c>
    </row>
    <row r="470" customFormat="false" ht="15" hidden="false" customHeight="true" outlineLevel="0" collapsed="false">
      <c r="A470" s="14" t="n">
        <v>466</v>
      </c>
      <c r="B470" s="47" t="n">
        <v>0.904389710185369</v>
      </c>
      <c r="C470" s="47" t="n">
        <v>0.94717311036536</v>
      </c>
      <c r="D470" s="47" t="n">
        <v>1.11267283589908</v>
      </c>
      <c r="E470" s="47" t="n">
        <v>1.06700751381546</v>
      </c>
      <c r="F470" s="47" t="n">
        <v>1.06634893903841</v>
      </c>
      <c r="G470" s="27" t="n">
        <f aca="false">'Visitor Economics'!$B$5*B470</f>
        <v>29121.3486679689</v>
      </c>
      <c r="H470" s="29" t="n">
        <f aca="false">MAX(0,'Visitor Economics'!$B$18*B470*C470*D470)</f>
        <v>689679.199204705</v>
      </c>
      <c r="I470" s="29" t="n">
        <f aca="false">H470*Controls!$B$52</f>
        <v>979344.462870681</v>
      </c>
      <c r="J470" s="29" t="n">
        <f aca="false">'City Fiscal'!$B$5+(H470*Controls!$B$56*Controls!$B$55)+('City Fiscal'!$B$9*B470*F470)</f>
        <v>151751.650258505</v>
      </c>
      <c r="K470" s="29" t="n">
        <f aca="false">J470-('City Fiscal'!$B$13*E470)</f>
        <v>34380.8237388049</v>
      </c>
      <c r="L470" s="30" t="n">
        <f aca="false">'Mobility &amp; Emissions'!$B$21*B470*F470</f>
        <v>90.0086255619399</v>
      </c>
    </row>
    <row r="471" customFormat="false" ht="15" hidden="false" customHeight="true" outlineLevel="0" collapsed="false">
      <c r="A471" s="14" t="n">
        <v>467</v>
      </c>
      <c r="B471" s="47" t="n">
        <v>0.861461647417665</v>
      </c>
      <c r="C471" s="47" t="n">
        <v>1.04074093111826</v>
      </c>
      <c r="D471" s="47" t="n">
        <v>0.927882047591991</v>
      </c>
      <c r="E471" s="47" t="n">
        <v>1.11701973830677</v>
      </c>
      <c r="F471" s="47" t="n">
        <v>0.989346689949923</v>
      </c>
      <c r="G471" s="27" t="n">
        <f aca="false">'Visitor Economics'!$B$5*B471</f>
        <v>27739.0650468488</v>
      </c>
      <c r="H471" s="29" t="n">
        <f aca="false">MAX(0,'Visitor Economics'!$B$18*B471*C471*D471)</f>
        <v>601957.769402818</v>
      </c>
      <c r="I471" s="29" t="n">
        <f aca="false">H471*Controls!$B$52</f>
        <v>854780.032552001</v>
      </c>
      <c r="J471" s="29" t="n">
        <f aca="false">'City Fiscal'!$B$5+(H471*Controls!$B$56*Controls!$B$55)+('City Fiscal'!$B$9*B471*F471)</f>
        <v>139292.886359703</v>
      </c>
      <c r="K471" s="29" t="n">
        <f aca="false">J471-('City Fiscal'!$B$13*E471)</f>
        <v>16420.7151459586</v>
      </c>
      <c r="L471" s="30" t="n">
        <f aca="false">'Mobility &amp; Emissions'!$B$21*B471*F471</f>
        <v>79.5451360122963</v>
      </c>
    </row>
    <row r="472" customFormat="false" ht="15" hidden="false" customHeight="true" outlineLevel="0" collapsed="false">
      <c r="A472" s="14" t="n">
        <v>468</v>
      </c>
      <c r="B472" s="47" t="n">
        <v>0.936214559737386</v>
      </c>
      <c r="C472" s="47" t="n">
        <v>0.951350675673938</v>
      </c>
      <c r="D472" s="47" t="n">
        <v>0.869518154583302</v>
      </c>
      <c r="E472" s="47" t="n">
        <v>0.854636685753692</v>
      </c>
      <c r="F472" s="47" t="n">
        <v>1.08444467984976</v>
      </c>
      <c r="G472" s="27" t="n">
        <f aca="false">'Visitor Economics'!$B$5*B472</f>
        <v>30146.1088235438</v>
      </c>
      <c r="H472" s="29" t="n">
        <f aca="false">MAX(0,'Visitor Economics'!$B$18*B472*C472*D472)</f>
        <v>560388.669136216</v>
      </c>
      <c r="I472" s="29" t="n">
        <f aca="false">H472*Controls!$B$52</f>
        <v>795751.910173426</v>
      </c>
      <c r="J472" s="29" t="n">
        <f aca="false">'City Fiscal'!$B$5+(H472*Controls!$B$56*Controls!$B$55)+('City Fiscal'!$B$9*B472*F472)</f>
        <v>156309.89310033</v>
      </c>
      <c r="K472" s="29" t="n">
        <f aca="false">J472-('City Fiscal'!$B$13*E472)</f>
        <v>62299.8576674237</v>
      </c>
      <c r="L472" s="30" t="n">
        <f aca="false">'Mobility &amp; Emissions'!$B$21*B472*F472</f>
        <v>94.7571455814079</v>
      </c>
    </row>
    <row r="473" customFormat="false" ht="15" hidden="false" customHeight="true" outlineLevel="0" collapsed="false">
      <c r="A473" s="14" t="n">
        <v>469</v>
      </c>
      <c r="B473" s="47" t="n">
        <v>0.873735798924424</v>
      </c>
      <c r="C473" s="47" t="n">
        <v>1.00607897472372</v>
      </c>
      <c r="D473" s="47" t="n">
        <v>0.928927163405471</v>
      </c>
      <c r="E473" s="47" t="n">
        <v>0.969690681072671</v>
      </c>
      <c r="F473" s="47" t="n">
        <v>1.10892080818711</v>
      </c>
      <c r="G473" s="27" t="n">
        <f aca="false">'Visitor Economics'!$B$5*B473</f>
        <v>28134.2927253665</v>
      </c>
      <c r="H473" s="29" t="n">
        <f aca="false">MAX(0,'Visitor Economics'!$B$18*B473*C473*D473)</f>
        <v>590865.367499971</v>
      </c>
      <c r="I473" s="29" t="n">
        <f aca="false">H473*Controls!$B$52</f>
        <v>839028.821849959</v>
      </c>
      <c r="J473" s="29" t="n">
        <f aca="false">'City Fiscal'!$B$5+(H473*Controls!$B$56*Controls!$B$55)+('City Fiscal'!$B$9*B473*F473)</f>
        <v>151589.534358377</v>
      </c>
      <c r="K473" s="29" t="n">
        <f aca="false">J473-('City Fiscal'!$B$13*E473)</f>
        <v>44923.5594403827</v>
      </c>
      <c r="L473" s="30" t="n">
        <f aca="false">'Mobility &amp; Emissions'!$B$21*B473*F473</f>
        <v>90.4294395637395</v>
      </c>
    </row>
    <row r="474" customFormat="false" ht="15" hidden="false" customHeight="true" outlineLevel="0" collapsed="false">
      <c r="A474" s="14" t="n">
        <v>470</v>
      </c>
      <c r="B474" s="47" t="n">
        <v>0.8821410789056</v>
      </c>
      <c r="C474" s="47" t="n">
        <v>0.998115131305569</v>
      </c>
      <c r="D474" s="47" t="n">
        <v>0.908824298950159</v>
      </c>
      <c r="E474" s="47" t="n">
        <v>0.877354162882916</v>
      </c>
      <c r="F474" s="47" t="n">
        <v>0.933651060961592</v>
      </c>
      <c r="G474" s="27" t="n">
        <f aca="false">'Visitor Economics'!$B$5*B474</f>
        <v>28404.9427407603</v>
      </c>
      <c r="H474" s="29" t="n">
        <f aca="false">MAX(0,'Visitor Economics'!$B$18*B474*C474*D474)</f>
        <v>579019.627530044</v>
      </c>
      <c r="I474" s="29" t="n">
        <f aca="false">H474*Controls!$B$52</f>
        <v>822207.871092663</v>
      </c>
      <c r="J474" s="29" t="n">
        <f aca="false">'City Fiscal'!$B$5+(H474*Controls!$B$56*Controls!$B$55)+('City Fiscal'!$B$9*B474*F474)</f>
        <v>136103.301537936</v>
      </c>
      <c r="K474" s="29" t="n">
        <f aca="false">J474-('City Fiscal'!$B$13*E474)</f>
        <v>39594.3436208152</v>
      </c>
      <c r="L474" s="30" t="n">
        <f aca="false">'Mobility &amp; Emissions'!$B$21*B474*F474</f>
        <v>76.8691038293563</v>
      </c>
    </row>
    <row r="475" customFormat="false" ht="15" hidden="false" customHeight="true" outlineLevel="0" collapsed="false">
      <c r="A475" s="14" t="n">
        <v>471</v>
      </c>
      <c r="B475" s="47" t="n">
        <v>0.997818926987181</v>
      </c>
      <c r="C475" s="47" t="n">
        <v>0.994129262331178</v>
      </c>
      <c r="D475" s="47" t="n">
        <v>0.932698068095179</v>
      </c>
      <c r="E475" s="47" t="n">
        <v>1.14502976612392</v>
      </c>
      <c r="F475" s="47" t="n">
        <v>1.00372115669038</v>
      </c>
      <c r="G475" s="27" t="n">
        <f aca="false">'Visitor Economics'!$B$5*B475</f>
        <v>32129.7694489872</v>
      </c>
      <c r="H475" s="29" t="n">
        <f aca="false">MAX(0,'Visitor Economics'!$B$18*B475*C475*D475)</f>
        <v>669468.799846123</v>
      </c>
      <c r="I475" s="29" t="n">
        <f aca="false">H475*Controls!$B$52</f>
        <v>950645.695781495</v>
      </c>
      <c r="J475" s="29" t="n">
        <f aca="false">'City Fiscal'!$B$5+(H475*Controls!$B$56*Controls!$B$55)+('City Fiscal'!$B$9*B475*F475)</f>
        <v>155559.386387789</v>
      </c>
      <c r="K475" s="29" t="n">
        <f aca="false">J475-('City Fiscal'!$B$13*E475)</f>
        <v>29606.1121141575</v>
      </c>
      <c r="L475" s="30" t="n">
        <f aca="false">'Mobility &amp; Emissions'!$B$21*B475*F475</f>
        <v>93.4746811370115</v>
      </c>
    </row>
    <row r="476" customFormat="false" ht="15" hidden="false" customHeight="true" outlineLevel="0" collapsed="false">
      <c r="A476" s="14" t="n">
        <v>472</v>
      </c>
      <c r="B476" s="47" t="n">
        <v>0.853435686147812</v>
      </c>
      <c r="C476" s="47" t="n">
        <v>1.01208336550837</v>
      </c>
      <c r="D476" s="47" t="n">
        <v>0.811341665558805</v>
      </c>
      <c r="E476" s="47" t="n">
        <v>1.22568436716843</v>
      </c>
      <c r="F476" s="47" t="n">
        <v>0.987231556137792</v>
      </c>
      <c r="G476" s="27" t="n">
        <f aca="false">'Visitor Economics'!$B$5*B476</f>
        <v>27480.6290939595</v>
      </c>
      <c r="H476" s="29" t="n">
        <f aca="false">MAX(0,'Visitor Economics'!$B$18*B476*C476*D476)</f>
        <v>507090.570191901</v>
      </c>
      <c r="I476" s="29" t="n">
        <f aca="false">H476*Controls!$B$52</f>
        <v>720068.6096725</v>
      </c>
      <c r="J476" s="29" t="n">
        <f aca="false">'City Fiscal'!$B$5+(H476*Controls!$B$56*Controls!$B$55)+('City Fiscal'!$B$9*B476*F476)</f>
        <v>137644.541932891</v>
      </c>
      <c r="K476" s="29" t="n">
        <f aca="false">J476-('City Fiscal'!$B$13*E476)</f>
        <v>2819.26154436378</v>
      </c>
      <c r="L476" s="30" t="n">
        <f aca="false">'Mobility &amp; Emissions'!$B$21*B476*F476</f>
        <v>78.6355636334819</v>
      </c>
    </row>
    <row r="477" customFormat="false" ht="15" hidden="false" customHeight="true" outlineLevel="0" collapsed="false">
      <c r="A477" s="14" t="n">
        <v>473</v>
      </c>
      <c r="B477" s="47" t="n">
        <v>0.896292734080853</v>
      </c>
      <c r="C477" s="47" t="n">
        <v>1.00799107178443</v>
      </c>
      <c r="D477" s="47" t="n">
        <v>0.88040667308501</v>
      </c>
      <c r="E477" s="47" t="n">
        <v>1.08137689956593</v>
      </c>
      <c r="F477" s="47" t="n">
        <v>1.08833558562672</v>
      </c>
      <c r="G477" s="27" t="n">
        <f aca="false">'Visitor Economics'!$B$5*B477</f>
        <v>28860.6260374035</v>
      </c>
      <c r="H477" s="29" t="n">
        <f aca="false">MAX(0,'Visitor Economics'!$B$18*B477*C477*D477)</f>
        <v>575551.985395636</v>
      </c>
      <c r="I477" s="29" t="n">
        <f aca="false">H477*Controls!$B$52</f>
        <v>817283.819261803</v>
      </c>
      <c r="J477" s="29" t="n">
        <f aca="false">'City Fiscal'!$B$5+(H477*Controls!$B$56*Controls!$B$55)+('City Fiscal'!$B$9*B477*F477)</f>
        <v>152186.416997644</v>
      </c>
      <c r="K477" s="29" t="n">
        <f aca="false">J477-('City Fiscal'!$B$13*E477)</f>
        <v>33234.9580453918</v>
      </c>
      <c r="L477" s="30" t="n">
        <f aca="false">'Mobility &amp; Emissions'!$B$21*B477*F477</f>
        <v>91.0420193164067</v>
      </c>
    </row>
    <row r="478" customFormat="false" ht="15" hidden="false" customHeight="true" outlineLevel="0" collapsed="false">
      <c r="A478" s="14" t="n">
        <v>474</v>
      </c>
      <c r="B478" s="47" t="n">
        <v>0.914637290525322</v>
      </c>
      <c r="C478" s="47" t="n">
        <v>1.05779067594002</v>
      </c>
      <c r="D478" s="47" t="n">
        <v>1.07538256100836</v>
      </c>
      <c r="E478" s="47" t="n">
        <v>1.00257071717357</v>
      </c>
      <c r="F478" s="47" t="n">
        <v>0.871737065119284</v>
      </c>
      <c r="G478" s="27" t="n">
        <f aca="false">'Visitor Economics'!$B$5*B478</f>
        <v>29451.3207549154</v>
      </c>
      <c r="H478" s="29" t="n">
        <f aca="false">MAX(0,'Visitor Economics'!$B$18*B478*C478*D478)</f>
        <v>752846.26044439</v>
      </c>
      <c r="I478" s="29" t="n">
        <f aca="false">H478*Controls!$B$52</f>
        <v>1069041.68983103</v>
      </c>
      <c r="J478" s="29" t="n">
        <f aca="false">'City Fiscal'!$B$5+(H478*Controls!$B$56*Controls!$B$55)+('City Fiscal'!$B$9*B478*F478)</f>
        <v>134441.54860015</v>
      </c>
      <c r="K478" s="29" t="n">
        <f aca="false">J478-('City Fiscal'!$B$13*E478)</f>
        <v>24158.7697110573</v>
      </c>
      <c r="L478" s="30" t="n">
        <f aca="false">'Mobility &amp; Emissions'!$B$21*B478*F478</f>
        <v>74.4155322525739</v>
      </c>
    </row>
    <row r="479" customFormat="false" ht="15" hidden="false" customHeight="true" outlineLevel="0" collapsed="false">
      <c r="A479" s="14" t="n">
        <v>475</v>
      </c>
      <c r="B479" s="47" t="n">
        <v>0.857009090372501</v>
      </c>
      <c r="C479" s="47" t="n">
        <v>1.06517299935251</v>
      </c>
      <c r="D479" s="47" t="n">
        <v>0.972532854339201</v>
      </c>
      <c r="E479" s="47" t="n">
        <v>1.04855211592077</v>
      </c>
      <c r="F479" s="47" t="n">
        <v>0.942587796172066</v>
      </c>
      <c r="G479" s="27" t="n">
        <f aca="false">'Visitor Economics'!$B$5*B479</f>
        <v>27595.6927099945</v>
      </c>
      <c r="H479" s="29" t="n">
        <f aca="false">MAX(0,'Visitor Economics'!$B$18*B479*C479*D479)</f>
        <v>642398.515907635</v>
      </c>
      <c r="I479" s="29" t="n">
        <f aca="false">H479*Controls!$B$52</f>
        <v>912205.892588842</v>
      </c>
      <c r="J479" s="29" t="n">
        <f aca="false">'City Fiscal'!$B$5+(H479*Controls!$B$56*Controls!$B$55)+('City Fiscal'!$B$9*B479*F479)</f>
        <v>134837.669841908</v>
      </c>
      <c r="K479" s="29" t="n">
        <f aca="false">J479-('City Fiscal'!$B$13*E479)</f>
        <v>19496.9370906233</v>
      </c>
      <c r="L479" s="30" t="n">
        <f aca="false">'Mobility &amp; Emissions'!$B$21*B479*F479</f>
        <v>75.3939361637673</v>
      </c>
    </row>
    <row r="480" customFormat="false" ht="15" hidden="false" customHeight="true" outlineLevel="0" collapsed="false">
      <c r="A480" s="14" t="n">
        <v>476</v>
      </c>
      <c r="B480" s="47" t="n">
        <v>0.938981483597884</v>
      </c>
      <c r="C480" s="47" t="n">
        <v>0.977692739211417</v>
      </c>
      <c r="D480" s="47" t="n">
        <v>0.954206486676013</v>
      </c>
      <c r="E480" s="47" t="n">
        <v>1.11501388960341</v>
      </c>
      <c r="F480" s="47" t="n">
        <v>1.00635982456151</v>
      </c>
      <c r="G480" s="27" t="n">
        <f aca="false">'Visitor Economics'!$B$5*B480</f>
        <v>30235.2037718519</v>
      </c>
      <c r="H480" s="29" t="n">
        <f aca="false">MAX(0,'Visitor Economics'!$B$18*B480*C480*D480)</f>
        <v>633864.533215723</v>
      </c>
      <c r="I480" s="29" t="n">
        <f aca="false">H480*Controls!$B$52</f>
        <v>900087.637166326</v>
      </c>
      <c r="J480" s="29" t="n">
        <f aca="false">'City Fiscal'!$B$5+(H480*Controls!$B$56*Controls!$B$55)+('City Fiscal'!$B$9*B480*F480)</f>
        <v>149328.00173476</v>
      </c>
      <c r="K480" s="29" t="n">
        <f aca="false">J480-('City Fiscal'!$B$13*E480)</f>
        <v>26676.4738783851</v>
      </c>
      <c r="L480" s="30" t="n">
        <f aca="false">'Mobility &amp; Emissions'!$B$21*B480*F480</f>
        <v>88.1940924123797</v>
      </c>
    </row>
    <row r="481" customFormat="false" ht="15" hidden="false" customHeight="true" outlineLevel="0" collapsed="false">
      <c r="A481" s="14" t="n">
        <v>477</v>
      </c>
      <c r="B481" s="47" t="n">
        <v>0.949601136372808</v>
      </c>
      <c r="C481" s="47" t="n">
        <v>1.02930270125301</v>
      </c>
      <c r="D481" s="47" t="n">
        <v>1.15643852288468</v>
      </c>
      <c r="E481" s="47" t="n">
        <v>1.20540459664943</v>
      </c>
      <c r="F481" s="47" t="n">
        <v>0.928660663612761</v>
      </c>
      <c r="G481" s="27" t="n">
        <f aca="false">'Visitor Economics'!$B$5*B481</f>
        <v>30577.1565912044</v>
      </c>
      <c r="H481" s="29" t="n">
        <f aca="false">MAX(0,'Visitor Economics'!$B$18*B481*C481*D481)</f>
        <v>817902.542180945</v>
      </c>
      <c r="I481" s="29" t="n">
        <f aca="false">H481*Controls!$B$52</f>
        <v>1161421.60989694</v>
      </c>
      <c r="J481" s="29" t="n">
        <f aca="false">'City Fiscal'!$B$5+(H481*Controls!$B$56*Controls!$B$55)+('City Fiscal'!$B$9*B481*F481)</f>
        <v>143828.683061063</v>
      </c>
      <c r="K481" s="29" t="n">
        <f aca="false">J481-('City Fiscal'!$B$13*E481)</f>
        <v>11234.1774296255</v>
      </c>
      <c r="L481" s="30" t="n">
        <f aca="false">'Mobility &amp; Emissions'!$B$21*B481*F481</f>
        <v>82.3052336372026</v>
      </c>
    </row>
    <row r="482" customFormat="false" ht="15" hidden="false" customHeight="true" outlineLevel="0" collapsed="false">
      <c r="A482" s="14" t="n">
        <v>478</v>
      </c>
      <c r="B482" s="47" t="n">
        <v>0.954</v>
      </c>
      <c r="C482" s="47" t="n">
        <v>0.930837719211467</v>
      </c>
      <c r="D482" s="47" t="n">
        <v>1.06975364081347</v>
      </c>
      <c r="E482" s="47" t="n">
        <v>0.984707923306682</v>
      </c>
      <c r="F482" s="47" t="n">
        <v>0.995662280635723</v>
      </c>
      <c r="G482" s="27" t="n">
        <f aca="false">'Visitor Economics'!$B$5*B482</f>
        <v>30718.8</v>
      </c>
      <c r="H482" s="29" t="n">
        <f aca="false">MAX(0,'Visitor Economics'!$B$18*B482*C482*D482)</f>
        <v>687386.171356642</v>
      </c>
      <c r="I482" s="29" t="n">
        <f aca="false">H482*Controls!$B$52</f>
        <v>976088.363326432</v>
      </c>
      <c r="J482" s="29" t="n">
        <f aca="false">'City Fiscal'!$B$5+(H482*Controls!$B$56*Controls!$B$55)+('City Fiscal'!$B$9*B482*F482)</f>
        <v>150195.419239072</v>
      </c>
      <c r="K482" s="29" t="n">
        <f aca="false">J482-('City Fiscal'!$B$13*E482)</f>
        <v>41877.5476753368</v>
      </c>
      <c r="L482" s="30" t="n">
        <f aca="false">'Mobility &amp; Emissions'!$B$21*B482*F482</f>
        <v>88.6522180268391</v>
      </c>
    </row>
    <row r="483" customFormat="false" ht="15" hidden="false" customHeight="true" outlineLevel="0" collapsed="false">
      <c r="A483" s="14" t="n">
        <v>479</v>
      </c>
      <c r="B483" s="47" t="n">
        <v>0.947089095465767</v>
      </c>
      <c r="C483" s="47" t="n">
        <v>1.03294829122872</v>
      </c>
      <c r="D483" s="47" t="n">
        <v>1.03883359642216</v>
      </c>
      <c r="E483" s="47" t="n">
        <v>0.947339310505437</v>
      </c>
      <c r="F483" s="47" t="n">
        <v>1.0176085350183</v>
      </c>
      <c r="G483" s="27" t="n">
        <f aca="false">'Visitor Economics'!$B$5*B483</f>
        <v>30496.2688739977</v>
      </c>
      <c r="H483" s="29" t="n">
        <f aca="false">MAX(0,'Visitor Economics'!$B$18*B483*C483*D483)</f>
        <v>735377.053080055</v>
      </c>
      <c r="I483" s="29" t="n">
        <f aca="false">H483*Controls!$B$52</f>
        <v>1044235.41537368</v>
      </c>
      <c r="J483" s="29" t="n">
        <f aca="false">'City Fiscal'!$B$5+(H483*Controls!$B$56*Controls!$B$55)+('City Fiscal'!$B$9*B483*F483)</f>
        <v>151981.054932028</v>
      </c>
      <c r="K483" s="29" t="n">
        <f aca="false">J483-('City Fiscal'!$B$13*E483)</f>
        <v>47773.7307764301</v>
      </c>
      <c r="L483" s="30" t="n">
        <f aca="false">'Mobility &amp; Emissions'!$B$21*B483*F483</f>
        <v>89.9499142327011</v>
      </c>
    </row>
    <row r="484" customFormat="false" ht="15" hidden="false" customHeight="true" outlineLevel="0" collapsed="false">
      <c r="A484" s="14" t="n">
        <v>480</v>
      </c>
      <c r="B484" s="47" t="n">
        <v>0.943553940585534</v>
      </c>
      <c r="C484" s="47" t="n">
        <v>0.960296115413079</v>
      </c>
      <c r="D484" s="47" t="n">
        <v>1.06334858693275</v>
      </c>
      <c r="E484" s="47" t="n">
        <v>0.96007462296933</v>
      </c>
      <c r="F484" s="47" t="n">
        <v>1.08077211544471</v>
      </c>
      <c r="G484" s="27" t="n">
        <f aca="false">'Visitor Economics'!$B$5*B484</f>
        <v>30382.4368868542</v>
      </c>
      <c r="H484" s="29" t="n">
        <f aca="false">MAX(0,'Visitor Economics'!$B$18*B484*C484*D484)</f>
        <v>697175.685918424</v>
      </c>
      <c r="I484" s="29" t="n">
        <f aca="false">H484*Controls!$B$52</f>
        <v>989989.474004162</v>
      </c>
      <c r="J484" s="29" t="n">
        <f aca="false">'City Fiscal'!$B$5+(H484*Controls!$B$56*Controls!$B$55)+('City Fiscal'!$B$9*B484*F484)</f>
        <v>157672.889314269</v>
      </c>
      <c r="K484" s="29" t="n">
        <f aca="false">J484-('City Fiscal'!$B$13*E484)</f>
        <v>52064.6807876427</v>
      </c>
      <c r="L484" s="30" t="n">
        <f aca="false">'Mobility &amp; Emissions'!$B$21*B484*F484</f>
        <v>95.1765679651755</v>
      </c>
    </row>
    <row r="485" customFormat="false" ht="15" hidden="false" customHeight="true" outlineLevel="0" collapsed="false">
      <c r="A485" s="14" t="n">
        <v>481</v>
      </c>
      <c r="B485" s="47" t="n">
        <v>0.8799799979996</v>
      </c>
      <c r="C485" s="47" t="n">
        <v>0.93653754759733</v>
      </c>
      <c r="D485" s="47" t="n">
        <v>1.02120697126005</v>
      </c>
      <c r="E485" s="47" t="n">
        <v>1.10028777605018</v>
      </c>
      <c r="F485" s="47" t="n">
        <v>0.883874769371909</v>
      </c>
      <c r="G485" s="27" t="n">
        <f aca="false">'Visitor Economics'!$B$5*B485</f>
        <v>28335.3559355871</v>
      </c>
      <c r="H485" s="29" t="n">
        <f aca="false">MAX(0,'Visitor Economics'!$B$18*B485*C485*D485)</f>
        <v>608984.774672488</v>
      </c>
      <c r="I485" s="29" t="n">
        <f aca="false">H485*Controls!$B$52</f>
        <v>864758.380034933</v>
      </c>
      <c r="J485" s="29" t="n">
        <f aca="false">'City Fiscal'!$B$5+(H485*Controls!$B$56*Controls!$B$55)+('City Fiscal'!$B$9*B485*F485)</f>
        <v>131437.881111879</v>
      </c>
      <c r="K485" s="29" t="n">
        <f aca="false">J485-('City Fiscal'!$B$13*E485)</f>
        <v>10406.2257463594</v>
      </c>
      <c r="L485" s="30" t="n">
        <f aca="false">'Mobility &amp; Emissions'!$B$21*B485*F485</f>
        <v>72.5926605993613</v>
      </c>
    </row>
    <row r="486" customFormat="false" ht="15" hidden="false" customHeight="true" outlineLevel="0" collapsed="false">
      <c r="A486" s="14" t="n">
        <v>482</v>
      </c>
      <c r="B486" s="47" t="n">
        <v>0.83544727225031</v>
      </c>
      <c r="C486" s="47" t="n">
        <v>0.996745579859865</v>
      </c>
      <c r="D486" s="47" t="n">
        <v>1.0314508064531</v>
      </c>
      <c r="E486" s="47" t="n">
        <v>1.05423547308054</v>
      </c>
      <c r="F486" s="47" t="n">
        <v>0.923942545263197</v>
      </c>
      <c r="G486" s="27" t="n">
        <f aca="false">'Visitor Economics'!$B$5*B486</f>
        <v>26901.40216646</v>
      </c>
      <c r="H486" s="29" t="n">
        <f aca="false">MAX(0,'Visitor Economics'!$B$18*B486*C486*D486)</f>
        <v>621507.756599409</v>
      </c>
      <c r="I486" s="29" t="n">
        <f aca="false">H486*Controls!$B$52</f>
        <v>882541.014371161</v>
      </c>
      <c r="J486" s="29" t="n">
        <f aca="false">'City Fiscal'!$B$5+(H486*Controls!$B$56*Controls!$B$55)+('City Fiscal'!$B$9*B486*F486)</f>
        <v>130894.679288466</v>
      </c>
      <c r="K486" s="29" t="n">
        <f aca="false">J486-('City Fiscal'!$B$13*E486)</f>
        <v>14928.7772496067</v>
      </c>
      <c r="L486" s="30" t="n">
        <f aca="false">'Mobility &amp; Emissions'!$B$21*B486*F486</f>
        <v>72.0432319426177</v>
      </c>
    </row>
    <row r="487" customFormat="false" ht="15" hidden="false" customHeight="true" outlineLevel="0" collapsed="false">
      <c r="A487" s="14" t="n">
        <v>483</v>
      </c>
      <c r="B487" s="47" t="n">
        <v>0.978866072397594</v>
      </c>
      <c r="C487" s="47" t="n">
        <v>0.95777155003846</v>
      </c>
      <c r="D487" s="47" t="n">
        <v>0.990982700712641</v>
      </c>
      <c r="E487" s="47" t="n">
        <v>1.06008883655772</v>
      </c>
      <c r="F487" s="47" t="n">
        <v>0.976124938057468</v>
      </c>
      <c r="G487" s="27" t="n">
        <f aca="false">'Visitor Economics'!$B$5*B487</f>
        <v>31519.4875312025</v>
      </c>
      <c r="H487" s="29" t="n">
        <f aca="false">MAX(0,'Visitor Economics'!$B$18*B487*C487*D487)</f>
        <v>672273.436460804</v>
      </c>
      <c r="I487" s="29" t="n">
        <f aca="false">H487*Controls!$B$52</f>
        <v>954628.279774342</v>
      </c>
      <c r="J487" s="29" t="n">
        <f aca="false">'City Fiscal'!$B$5+(H487*Controls!$B$56*Controls!$B$55)+('City Fiscal'!$B$9*B487*F487)</f>
        <v>150694.999168123</v>
      </c>
      <c r="K487" s="29" t="n">
        <f aca="false">J487-('City Fiscal'!$B$13*E487)</f>
        <v>34085.2271467734</v>
      </c>
      <c r="L487" s="30" t="n">
        <f aca="false">'Mobility &amp; Emissions'!$B$21*B487*F487</f>
        <v>89.1780272238738</v>
      </c>
    </row>
    <row r="488" customFormat="false" ht="15" hidden="false" customHeight="true" outlineLevel="0" collapsed="false">
      <c r="A488" s="14" t="n">
        <v>484</v>
      </c>
      <c r="B488" s="47" t="n">
        <v>0.902895077200025</v>
      </c>
      <c r="C488" s="47" t="n">
        <v>0.92862320194139</v>
      </c>
      <c r="D488" s="47" t="n">
        <v>1.08330041991655</v>
      </c>
      <c r="E488" s="47" t="n">
        <v>1.14350469493917</v>
      </c>
      <c r="F488" s="47" t="n">
        <v>0.937335559768058</v>
      </c>
      <c r="G488" s="27" t="n">
        <f aca="false">'Visitor Economics'!$B$5*B488</f>
        <v>29073.2214858408</v>
      </c>
      <c r="H488" s="29" t="n">
        <f aca="false">MAX(0,'Visitor Economics'!$B$18*B488*C488*D488)</f>
        <v>657234.566611364</v>
      </c>
      <c r="I488" s="29" t="n">
        <f aca="false">H488*Controls!$B$52</f>
        <v>933273.084588136</v>
      </c>
      <c r="J488" s="29" t="n">
        <f aca="false">'City Fiscal'!$B$5+(H488*Controls!$B$56*Controls!$B$55)+('City Fiscal'!$B$9*B488*F488)</f>
        <v>139018.061272325</v>
      </c>
      <c r="K488" s="29" t="n">
        <f aca="false">J488-('City Fiscal'!$B$13*E488)</f>
        <v>13232.5448290162</v>
      </c>
      <c r="L488" s="30" t="n">
        <f aca="false">'Mobility &amp; Emissions'!$B$21*B488*F488</f>
        <v>78.9880795270013</v>
      </c>
    </row>
    <row r="489" customFormat="false" ht="15" hidden="false" customHeight="true" outlineLevel="0" collapsed="false">
      <c r="A489" s="14" t="n">
        <v>485</v>
      </c>
      <c r="B489" s="47" t="n">
        <v>0.927761179539198</v>
      </c>
      <c r="C489" s="47" t="n">
        <v>1.00388798511782</v>
      </c>
      <c r="D489" s="47" t="n">
        <v>1.13150421948441</v>
      </c>
      <c r="E489" s="47" t="n">
        <v>1.08362316868025</v>
      </c>
      <c r="F489" s="47" t="n">
        <v>1.03103571964661</v>
      </c>
      <c r="G489" s="27" t="n">
        <f aca="false">'Visitor Economics'!$B$5*B489</f>
        <v>29873.9099811622</v>
      </c>
      <c r="H489" s="29" t="n">
        <f aca="false">MAX(0,'Visitor Economics'!$B$18*B489*C489*D489)</f>
        <v>762556.97905375</v>
      </c>
      <c r="I489" s="29" t="n">
        <f aca="false">H489*Controls!$B$52</f>
        <v>1082830.91025632</v>
      </c>
      <c r="J489" s="29" t="n">
        <f aca="false">'City Fiscal'!$B$5+(H489*Controls!$B$56*Controls!$B$55)+('City Fiscal'!$B$9*B489*F489)</f>
        <v>151392.387858625</v>
      </c>
      <c r="K489" s="29" t="n">
        <f aca="false">J489-('City Fiscal'!$B$13*E489)</f>
        <v>32193.8393037977</v>
      </c>
      <c r="L489" s="30" t="n">
        <f aca="false">'Mobility &amp; Emissions'!$B$21*B489*F489</f>
        <v>89.2768963982341</v>
      </c>
    </row>
    <row r="490" customFormat="false" ht="15" hidden="false" customHeight="true" outlineLevel="0" collapsed="false">
      <c r="A490" s="14" t="n">
        <v>486</v>
      </c>
      <c r="B490" s="47" t="n">
        <v>0.802072607458114</v>
      </c>
      <c r="C490" s="47" t="n">
        <v>0.973</v>
      </c>
      <c r="D490" s="47" t="n">
        <v>1.00580489357893</v>
      </c>
      <c r="E490" s="47" t="n">
        <v>1.11070265616316</v>
      </c>
      <c r="F490" s="47" t="n">
        <v>0.99316947998788</v>
      </c>
      <c r="G490" s="27" t="n">
        <f aca="false">'Visitor Economics'!$B$5*B490</f>
        <v>25826.7379601513</v>
      </c>
      <c r="H490" s="29" t="n">
        <f aca="false">MAX(0,'Visitor Economics'!$B$18*B490*C490*D490)</f>
        <v>567982.478607549</v>
      </c>
      <c r="I490" s="29" t="n">
        <f aca="false">H490*Controls!$B$52</f>
        <v>806535.119622719</v>
      </c>
      <c r="J490" s="29" t="n">
        <f aca="false">'City Fiscal'!$B$5+(H490*Controls!$B$56*Controls!$B$55)+('City Fiscal'!$B$9*B490*F490)</f>
        <v>133166.294013842</v>
      </c>
      <c r="K490" s="29" t="n">
        <f aca="false">J490-('City Fiscal'!$B$13*E490)</f>
        <v>10989.0018358939</v>
      </c>
      <c r="L490" s="30" t="n">
        <f aca="false">'Mobility &amp; Emissions'!$B$21*B490*F490</f>
        <v>74.3474754461689</v>
      </c>
    </row>
    <row r="491" customFormat="false" ht="15" hidden="false" customHeight="true" outlineLevel="0" collapsed="false">
      <c r="A491" s="14" t="n">
        <v>487</v>
      </c>
      <c r="B491" s="47" t="n">
        <v>0.907062189497899</v>
      </c>
      <c r="C491" s="47" t="n">
        <v>1.06616692466522</v>
      </c>
      <c r="D491" s="47" t="n">
        <v>1.0684545511449</v>
      </c>
      <c r="E491" s="47" t="n">
        <v>1.16673085805654</v>
      </c>
      <c r="F491" s="47" t="n">
        <v>1.07697603133217</v>
      </c>
      <c r="G491" s="27" t="n">
        <f aca="false">'Visitor Economics'!$B$5*B491</f>
        <v>29207.4025018324</v>
      </c>
      <c r="H491" s="29" t="n">
        <f aca="false">MAX(0,'Visitor Economics'!$B$18*B491*C491*D491)</f>
        <v>747675.228713575</v>
      </c>
      <c r="I491" s="29" t="n">
        <f aca="false">H491*Controls!$B$52</f>
        <v>1061698.82477328</v>
      </c>
      <c r="J491" s="29" t="n">
        <f aca="false">'City Fiscal'!$B$5+(H491*Controls!$B$56*Controls!$B$55)+('City Fiscal'!$B$9*B491*F491)</f>
        <v>153452.056554782</v>
      </c>
      <c r="K491" s="29" t="n">
        <f aca="false">J491-('City Fiscal'!$B$13*E491)</f>
        <v>25111.6621685624</v>
      </c>
      <c r="L491" s="30" t="n">
        <f aca="false">'Mobility &amp; Emissions'!$B$21*B491*F491</f>
        <v>91.1742665439917</v>
      </c>
    </row>
    <row r="492" customFormat="false" ht="15" hidden="false" customHeight="true" outlineLevel="0" collapsed="false">
      <c r="A492" s="14" t="n">
        <v>488</v>
      </c>
      <c r="B492" s="47" t="n">
        <v>1.01083484861009</v>
      </c>
      <c r="C492" s="47" t="n">
        <v>0.861243181254603</v>
      </c>
      <c r="D492" s="47" t="n">
        <v>1.08224646054405</v>
      </c>
      <c r="E492" s="47" t="n">
        <v>1.06093982439445</v>
      </c>
      <c r="F492" s="47" t="n">
        <v>0.99962453007445</v>
      </c>
      <c r="G492" s="27" t="n">
        <f aca="false">'Visitor Economics'!$B$5*B492</f>
        <v>32548.8821252449</v>
      </c>
      <c r="H492" s="29" t="n">
        <f aca="false">MAX(0,'Visitor Economics'!$B$18*B492*C492*D492)</f>
        <v>681752.66772013</v>
      </c>
      <c r="I492" s="29" t="n">
        <f aca="false">H492*Controls!$B$52</f>
        <v>968088.788162585</v>
      </c>
      <c r="J492" s="29" t="n">
        <f aca="false">'City Fiscal'!$B$5+(H492*Controls!$B$56*Controls!$B$55)+('City Fiscal'!$B$9*B492*F492)</f>
        <v>156585.384451942</v>
      </c>
      <c r="K492" s="29" t="n">
        <f aca="false">J492-('City Fiscal'!$B$13*E492)</f>
        <v>39882.0037685526</v>
      </c>
      <c r="L492" s="30" t="n">
        <f aca="false">'Mobility &amp; Emissions'!$B$21*B492*F492</f>
        <v>94.3075119053018</v>
      </c>
    </row>
    <row r="493" customFormat="false" ht="15" hidden="false" customHeight="true" outlineLevel="0" collapsed="false">
      <c r="A493" s="14" t="n">
        <v>489</v>
      </c>
      <c r="B493" s="47" t="n">
        <v>0.963821712379248</v>
      </c>
      <c r="C493" s="47" t="n">
        <v>0.987973212150033</v>
      </c>
      <c r="D493" s="47" t="n">
        <v>1.16997656593222</v>
      </c>
      <c r="E493" s="47" t="n">
        <v>1.04989065489088</v>
      </c>
      <c r="F493" s="47" t="n">
        <v>0.946163922548948</v>
      </c>
      <c r="G493" s="27" t="n">
        <f aca="false">'Visitor Economics'!$B$5*B493</f>
        <v>31035.0591386118</v>
      </c>
      <c r="H493" s="29" t="n">
        <f aca="false">MAX(0,'Visitor Economics'!$B$18*B493*C493*D493)</f>
        <v>806146.007769336</v>
      </c>
      <c r="I493" s="29" t="n">
        <f aca="false">H493*Controls!$B$52</f>
        <v>1144727.33103246</v>
      </c>
      <c r="J493" s="29" t="n">
        <f aca="false">'City Fiscal'!$B$5+(H493*Controls!$B$56*Controls!$B$55)+('City Fiscal'!$B$9*B493*F493)</f>
        <v>146942.335407997</v>
      </c>
      <c r="K493" s="29" t="n">
        <f aca="false">J493-('City Fiscal'!$B$13*E493)</f>
        <v>31454.3633699997</v>
      </c>
      <c r="L493" s="30" t="n">
        <f aca="false">'Mobility &amp; Emissions'!$B$21*B493*F493</f>
        <v>85.1122881643331</v>
      </c>
    </row>
    <row r="494" customFormat="false" ht="15" hidden="false" customHeight="true" outlineLevel="0" collapsed="false">
      <c r="A494" s="14" t="n">
        <v>490</v>
      </c>
      <c r="B494" s="47" t="n">
        <v>0.900409301966252</v>
      </c>
      <c r="C494" s="47" t="n">
        <v>1.03212508890474</v>
      </c>
      <c r="D494" s="47" t="n">
        <v>0.939325766905419</v>
      </c>
      <c r="E494" s="47" t="n">
        <v>1.03789448380582</v>
      </c>
      <c r="F494" s="47" t="n">
        <v>1.03009378664973</v>
      </c>
      <c r="G494" s="27" t="n">
        <f aca="false">'Visitor Economics'!$B$5*B494</f>
        <v>28993.1795233133</v>
      </c>
      <c r="H494" s="29" t="n">
        <f aca="false">MAX(0,'Visitor Economics'!$B$18*B494*C494*D494)</f>
        <v>631659.763395666</v>
      </c>
      <c r="I494" s="29" t="n">
        <f aca="false">H494*Controls!$B$52</f>
        <v>896956.864021846</v>
      </c>
      <c r="J494" s="29" t="n">
        <f aca="false">'City Fiscal'!$B$5+(H494*Controls!$B$56*Controls!$B$55)+('City Fiscal'!$B$9*B494*F494)</f>
        <v>147463.285150002</v>
      </c>
      <c r="K494" s="29" t="n">
        <f aca="false">J494-('City Fiscal'!$B$13*E494)</f>
        <v>33294.8919313613</v>
      </c>
      <c r="L494" s="30" t="n">
        <f aca="false">'Mobility &amp; Emissions'!$B$21*B494*F494</f>
        <v>86.5657142972139</v>
      </c>
    </row>
    <row r="495" customFormat="false" ht="15" hidden="false" customHeight="true" outlineLevel="0" collapsed="false">
      <c r="A495" s="14" t="n">
        <v>491</v>
      </c>
      <c r="B495" s="47" t="n">
        <v>0.93451315890735</v>
      </c>
      <c r="C495" s="47" t="n">
        <v>1.06926539642414</v>
      </c>
      <c r="D495" s="47" t="n">
        <v>1.178506993349</v>
      </c>
      <c r="E495" s="47" t="n">
        <v>1.11621378994829</v>
      </c>
      <c r="F495" s="47" t="n">
        <v>1.07162589713432</v>
      </c>
      <c r="G495" s="27" t="n">
        <f aca="false">'Visitor Economics'!$B$5*B495</f>
        <v>30091.3237168167</v>
      </c>
      <c r="H495" s="29" t="n">
        <f aca="false">MAX(0,'Visitor Economics'!$B$18*B495*C495*D495)</f>
        <v>852114.130175929</v>
      </c>
      <c r="I495" s="29" t="n">
        <f aca="false">H495*Controls!$B$52</f>
        <v>1210002.06484982</v>
      </c>
      <c r="J495" s="29" t="n">
        <f aca="false">'City Fiscal'!$B$5+(H495*Controls!$B$56*Controls!$B$55)+('City Fiscal'!$B$9*B495*F495)</f>
        <v>156734.075906629</v>
      </c>
      <c r="K495" s="29" t="n">
        <f aca="false">J495-('City Fiscal'!$B$13*E495)</f>
        <v>33950.5590123172</v>
      </c>
      <c r="L495" s="30" t="n">
        <f aca="false">'Mobility &amp; Emissions'!$B$21*B495*F495</f>
        <v>93.4668911819184</v>
      </c>
    </row>
    <row r="496" customFormat="false" ht="15" hidden="false" customHeight="true" outlineLevel="0" collapsed="false">
      <c r="A496" s="14" t="n">
        <v>492</v>
      </c>
      <c r="B496" s="47" t="n">
        <v>0.909938446966246</v>
      </c>
      <c r="C496" s="47" t="n">
        <v>0.91134002408583</v>
      </c>
      <c r="D496" s="47" t="n">
        <v>1.06813122862899</v>
      </c>
      <c r="E496" s="47" t="n">
        <v>1.00541105912164</v>
      </c>
      <c r="F496" s="47" t="n">
        <v>0.999924981240619</v>
      </c>
      <c r="G496" s="27" t="n">
        <f aca="false">'Visitor Economics'!$B$5*B496</f>
        <v>29300.0179923131</v>
      </c>
      <c r="H496" s="29" t="n">
        <f aca="false">MAX(0,'Visitor Economics'!$B$18*B496*C496*D496)</f>
        <v>640931.684466991</v>
      </c>
      <c r="I496" s="29" t="n">
        <f aca="false">H496*Controls!$B$52</f>
        <v>910122.991943127</v>
      </c>
      <c r="J496" s="29" t="n">
        <f aca="false">'City Fiscal'!$B$5+(H496*Controls!$B$56*Controls!$B$55)+('City Fiscal'!$B$9*B496*F496)</f>
        <v>145652.931747047</v>
      </c>
      <c r="K496" s="29" t="n">
        <f aca="false">J496-('City Fiscal'!$B$13*E496)</f>
        <v>35057.715243667</v>
      </c>
      <c r="L496" s="30" t="n">
        <f aca="false">'Mobility &amp; Emissions'!$B$21*B496*F496</f>
        <v>84.9197310998972</v>
      </c>
    </row>
    <row r="497" customFormat="false" ht="15" hidden="false" customHeight="true" outlineLevel="0" collapsed="false">
      <c r="A497" s="14" t="n">
        <v>493</v>
      </c>
      <c r="B497" s="47" t="n">
        <v>0.873556400101757</v>
      </c>
      <c r="C497" s="47" t="n">
        <v>0.939962494138793</v>
      </c>
      <c r="D497" s="47" t="n">
        <v>1.07172002355845</v>
      </c>
      <c r="E497" s="47" t="n">
        <v>1.05727934724062</v>
      </c>
      <c r="F497" s="47" t="n">
        <v>1.04575269787664</v>
      </c>
      <c r="G497" s="27" t="n">
        <f aca="false">'Visitor Economics'!$B$5*B497</f>
        <v>28128.5160832766</v>
      </c>
      <c r="H497" s="29" t="n">
        <f aca="false">MAX(0,'Visitor Economics'!$B$18*B497*C497*D497)</f>
        <v>636762.515031184</v>
      </c>
      <c r="I497" s="29" t="n">
        <f aca="false">H497*Controls!$B$52</f>
        <v>904202.771344281</v>
      </c>
      <c r="J497" s="29" t="n">
        <f aca="false">'City Fiscal'!$B$5+(H497*Controls!$B$56*Controls!$B$55)+('City Fiscal'!$B$9*B497*F497)</f>
        <v>146013.430618483</v>
      </c>
      <c r="K497" s="29" t="n">
        <f aca="false">J497-('City Fiscal'!$B$13*E497)</f>
        <v>29712.7024220152</v>
      </c>
      <c r="L497" s="30" t="n">
        <f aca="false">'Mobility &amp; Emissions'!$B$21*B497*F497</f>
        <v>85.2607443785515</v>
      </c>
    </row>
    <row r="498" customFormat="false" ht="15" hidden="false" customHeight="true" outlineLevel="0" collapsed="false">
      <c r="A498" s="14" t="n">
        <v>494</v>
      </c>
      <c r="B498" s="47" t="n">
        <v>0.885059982866932</v>
      </c>
      <c r="C498" s="47" t="n">
        <v>1.057502000032</v>
      </c>
      <c r="D498" s="47" t="n">
        <v>1.08542858692956</v>
      </c>
      <c r="E498" s="47" t="n">
        <v>0.976762559305467</v>
      </c>
      <c r="F498" s="47" t="n">
        <v>0.907510868538042</v>
      </c>
      <c r="G498" s="27" t="n">
        <f aca="false">'Visitor Economics'!$B$5*B498</f>
        <v>28498.9314483152</v>
      </c>
      <c r="H498" s="29" t="n">
        <f aca="false">MAX(0,'Visitor Economics'!$B$18*B498*C498*D498)</f>
        <v>735105.762802083</v>
      </c>
      <c r="I498" s="29" t="n">
        <f aca="false">H498*Controls!$B$52</f>
        <v>1043850.18317896</v>
      </c>
      <c r="J498" s="29" t="n">
        <f aca="false">'City Fiscal'!$B$5+(H498*Controls!$B$56*Controls!$B$55)+('City Fiscal'!$B$9*B498*F498)</f>
        <v>134950.038132783</v>
      </c>
      <c r="K498" s="29" t="n">
        <f aca="false">J498-('City Fiscal'!$B$13*E498)</f>
        <v>27506.1566091819</v>
      </c>
      <c r="L498" s="30" t="n">
        <f aca="false">'Mobility &amp; Emissions'!$B$21*B498*F498</f>
        <v>74.9641664550467</v>
      </c>
    </row>
    <row r="499" customFormat="false" ht="15" hidden="false" customHeight="true" outlineLevel="0" collapsed="false">
      <c r="A499" s="14" t="n">
        <v>495</v>
      </c>
      <c r="B499" s="47" t="n">
        <v>0.857660800922988</v>
      </c>
      <c r="C499" s="47" t="n">
        <v>0.974754644518347</v>
      </c>
      <c r="D499" s="47" t="n">
        <v>1.18016984891897</v>
      </c>
      <c r="E499" s="47" t="n">
        <v>0.953569083249081</v>
      </c>
      <c r="F499" s="47" t="n">
        <v>1.00480185951604</v>
      </c>
      <c r="G499" s="27" t="n">
        <f aca="false">'Visitor Economics'!$B$5*B499</f>
        <v>27616.6777897202</v>
      </c>
      <c r="H499" s="29" t="n">
        <f aca="false">MAX(0,'Visitor Economics'!$B$18*B499*C499*D499)</f>
        <v>713920.839138908</v>
      </c>
      <c r="I499" s="29" t="n">
        <f aca="false">H499*Controls!$B$52</f>
        <v>1013767.59157725</v>
      </c>
      <c r="J499" s="29" t="n">
        <f aca="false">'City Fiscal'!$B$5+(H499*Controls!$B$56*Controls!$B$55)+('City Fiscal'!$B$9*B499*F499)</f>
        <v>141025.428329469</v>
      </c>
      <c r="K499" s="29" t="n">
        <f aca="false">J499-('City Fiscal'!$B$13*E499)</f>
        <v>36132.8291720699</v>
      </c>
      <c r="L499" s="30" t="n">
        <f aca="false">'Mobility &amp; Emissions'!$B$21*B499*F499</f>
        <v>80.4313147368268</v>
      </c>
    </row>
    <row r="500" customFormat="false" ht="15" hidden="false" customHeight="true" outlineLevel="0" collapsed="false">
      <c r="A500" s="14" t="n">
        <v>496</v>
      </c>
      <c r="B500" s="47" t="n">
        <v>0.917721458023069</v>
      </c>
      <c r="C500" s="47" t="n">
        <v>1.02241926419626</v>
      </c>
      <c r="D500" s="47" t="n">
        <v>1.0430489188238</v>
      </c>
      <c r="E500" s="47" t="n">
        <v>1.12112506062077</v>
      </c>
      <c r="F500" s="47" t="n">
        <v>0.929796616469622</v>
      </c>
      <c r="G500" s="27" t="n">
        <f aca="false">'Visitor Economics'!$B$5*B500</f>
        <v>29550.6309483428</v>
      </c>
      <c r="H500" s="29" t="n">
        <f aca="false">MAX(0,'Visitor Economics'!$B$18*B500*C500*D500)</f>
        <v>708172.82439175</v>
      </c>
      <c r="I500" s="29" t="n">
        <f aca="false">H500*Controls!$B$52</f>
        <v>1005605.41063629</v>
      </c>
      <c r="J500" s="29" t="n">
        <f aca="false">'City Fiscal'!$B$5+(H500*Controls!$B$56*Controls!$B$55)+('City Fiscal'!$B$9*B500*F500)</f>
        <v>140088.287434898</v>
      </c>
      <c r="K500" s="29" t="n">
        <f aca="false">J500-('City Fiscal'!$B$13*E500)</f>
        <v>16764.5307666129</v>
      </c>
      <c r="L500" s="30" t="n">
        <f aca="false">'Mobility &amp; Emissions'!$B$21*B500*F500</f>
        <v>79.6394082288983</v>
      </c>
    </row>
    <row r="501" customFormat="false" ht="15" hidden="false" customHeight="true" outlineLevel="0" collapsed="false">
      <c r="A501" s="14" t="n">
        <v>497</v>
      </c>
      <c r="B501" s="47" t="n">
        <v>0.895277057561338</v>
      </c>
      <c r="C501" s="47" t="n">
        <v>0.967244694301696</v>
      </c>
      <c r="D501" s="47" t="n">
        <v>0.982735048770557</v>
      </c>
      <c r="E501" s="47" t="n">
        <v>0.931803846087691</v>
      </c>
      <c r="F501" s="47" t="n">
        <v>0.913107051903888</v>
      </c>
      <c r="G501" s="27" t="n">
        <f aca="false">'Visitor Economics'!$B$5*B501</f>
        <v>28827.9212534751</v>
      </c>
      <c r="H501" s="29" t="n">
        <f aca="false">MAX(0,'Visitor Economics'!$B$18*B501*C501*D501)</f>
        <v>615779.074139775</v>
      </c>
      <c r="I501" s="29" t="n">
        <f aca="false">H501*Controls!$B$52</f>
        <v>874406.285278481</v>
      </c>
      <c r="J501" s="29" t="n">
        <f aca="false">'City Fiscal'!$B$5+(H501*Controls!$B$56*Controls!$B$55)+('City Fiscal'!$B$9*B501*F501)</f>
        <v>135691.557808067</v>
      </c>
      <c r="K501" s="29" t="n">
        <f aca="false">J501-('City Fiscal'!$B$13*E501)</f>
        <v>33193.1347384207</v>
      </c>
      <c r="L501" s="30" t="n">
        <f aca="false">'Mobility &amp; Emissions'!$B$21*B501*F501</f>
        <v>76.297152278724</v>
      </c>
    </row>
    <row r="502" customFormat="false" ht="15" hidden="false" customHeight="true" outlineLevel="0" collapsed="false">
      <c r="A502" s="14" t="n">
        <v>498</v>
      </c>
      <c r="B502" s="47" t="n">
        <v>0.909030229016305</v>
      </c>
      <c r="C502" s="47" t="n">
        <v>0.961827359842874</v>
      </c>
      <c r="D502" s="47" t="n">
        <v>1.00701080270926</v>
      </c>
      <c r="E502" s="47" t="n">
        <v>1.08169595964446</v>
      </c>
      <c r="F502" s="47" t="n">
        <v>1.0606271853414</v>
      </c>
      <c r="G502" s="27" t="n">
        <f aca="false">'Visitor Economics'!$B$5*B502</f>
        <v>29270.773374325</v>
      </c>
      <c r="H502" s="29" t="n">
        <f aca="false">MAX(0,'Visitor Economics'!$B$18*B502*C502*D502)</f>
        <v>637095.080111961</v>
      </c>
      <c r="I502" s="29" t="n">
        <f aca="false">H502*Controls!$B$52</f>
        <v>904675.013758985</v>
      </c>
      <c r="J502" s="29" t="n">
        <f aca="false">'City Fiscal'!$B$5+(H502*Controls!$B$56*Controls!$B$55)+('City Fiscal'!$B$9*B502*F502)</f>
        <v>151384.089830133</v>
      </c>
      <c r="K502" s="29" t="n">
        <f aca="false">J502-('City Fiscal'!$B$13*E502)</f>
        <v>32397.534269242</v>
      </c>
      <c r="L502" s="30" t="n">
        <f aca="false">'Mobility &amp; Emissions'!$B$21*B502*F502</f>
        <v>89.9850280656862</v>
      </c>
    </row>
    <row r="503" customFormat="false" ht="15" hidden="false" customHeight="true" outlineLevel="0" collapsed="false">
      <c r="A503" s="14" t="n">
        <v>499</v>
      </c>
      <c r="B503" s="47" t="n">
        <v>0.814536936748936</v>
      </c>
      <c r="C503" s="47" t="n">
        <v>1.00863573284038</v>
      </c>
      <c r="D503" s="47" t="n">
        <v>0.983498648644162</v>
      </c>
      <c r="E503" s="47" t="n">
        <v>0.894391531776137</v>
      </c>
      <c r="F503" s="47" t="n">
        <v>1.04971291209732</v>
      </c>
      <c r="G503" s="27" t="n">
        <f aca="false">'Visitor Economics'!$B$5*B503</f>
        <v>26228.0893633157</v>
      </c>
      <c r="H503" s="29" t="n">
        <f aca="false">MAX(0,'Visitor Economics'!$B$18*B503*C503*D503)</f>
        <v>584673.715101179</v>
      </c>
      <c r="I503" s="29" t="n">
        <f aca="false">H503*Controls!$B$52</f>
        <v>830236.675443674</v>
      </c>
      <c r="J503" s="29" t="n">
        <f aca="false">'City Fiscal'!$B$5+(H503*Controls!$B$56*Controls!$B$55)+('City Fiscal'!$B$9*B503*F503)</f>
        <v>139472.092310693</v>
      </c>
      <c r="K503" s="29" t="n">
        <f aca="false">J503-('City Fiscal'!$B$13*E503)</f>
        <v>41089.0238153178</v>
      </c>
      <c r="L503" s="30" t="n">
        <f aca="false">'Mobility &amp; Emissions'!$B$21*B503*F503</f>
        <v>79.8013978404168</v>
      </c>
    </row>
    <row r="504" customFormat="false" ht="15" hidden="false" customHeight="true" outlineLevel="0" collapsed="false">
      <c r="A504" s="14" t="n">
        <v>500</v>
      </c>
      <c r="B504" s="47" t="n">
        <v>0.90193440859741</v>
      </c>
      <c r="C504" s="47" t="n">
        <v>1.08134770381983</v>
      </c>
      <c r="D504" s="47" t="n">
        <v>1.01412662295206</v>
      </c>
      <c r="E504" s="47" t="n">
        <v>1.1142198468111</v>
      </c>
      <c r="F504" s="47" t="n">
        <v>1.09825543506802</v>
      </c>
      <c r="G504" s="27" t="n">
        <f aca="false">'Visitor Economics'!$B$5*B504</f>
        <v>29042.2879568366</v>
      </c>
      <c r="H504" s="29" t="n">
        <f aca="false">MAX(0,'Visitor Economics'!$B$18*B504*C504*D504)</f>
        <v>715693.662336096</v>
      </c>
      <c r="I504" s="29" t="n">
        <f aca="false">H504*Controls!$B$52</f>
        <v>1016285.00051726</v>
      </c>
      <c r="J504" s="29" t="n">
        <f aca="false">'City Fiscal'!$B$5+(H504*Controls!$B$56*Controls!$B$55)+('City Fiscal'!$B$9*B504*F504)</f>
        <v>154694.652830557</v>
      </c>
      <c r="K504" s="29" t="n">
        <f aca="false">J504-('City Fiscal'!$B$13*E504)</f>
        <v>32130.4696813364</v>
      </c>
      <c r="L504" s="30" t="n">
        <f aca="false">'Mobility &amp; Emissions'!$B$21*B504*F504</f>
        <v>92.4501229507852</v>
      </c>
    </row>
    <row r="505" customFormat="false" ht="15" hidden="false" customHeight="true" outlineLevel="0" collapsed="false">
      <c r="A505" s="14" t="n">
        <v>501</v>
      </c>
      <c r="B505" s="47" t="n">
        <v>0.978286692770772</v>
      </c>
      <c r="C505" s="47" t="n">
        <v>1.02910445555474</v>
      </c>
      <c r="D505" s="47" t="n">
        <v>1.21017224585795</v>
      </c>
      <c r="E505" s="47" t="n">
        <v>0.959243312227195</v>
      </c>
      <c r="F505" s="47" t="n">
        <v>1.00173503448218</v>
      </c>
      <c r="G505" s="27" t="n">
        <f aca="false">'Visitor Economics'!$B$5*B505</f>
        <v>31500.8315072189</v>
      </c>
      <c r="H505" s="29" t="n">
        <f aca="false">MAX(0,'Visitor Economics'!$B$18*B505*C505*D505)</f>
        <v>881591.639006203</v>
      </c>
      <c r="I505" s="29" t="n">
        <f aca="false">H505*Controls!$B$52</f>
        <v>1251860.12738881</v>
      </c>
      <c r="J505" s="29" t="n">
        <f aca="false">'City Fiscal'!$B$5+(H505*Controls!$B$56*Controls!$B$55)+('City Fiscal'!$B$9*B505*F505)</f>
        <v>154648.597599044</v>
      </c>
      <c r="K505" s="29" t="n">
        <f aca="false">J505-('City Fiscal'!$B$13*E505)</f>
        <v>49131.8332540522</v>
      </c>
      <c r="L505" s="30" t="n">
        <f aca="false">'Mobility &amp; Emissions'!$B$21*B505*F505</f>
        <v>91.4635777248894</v>
      </c>
    </row>
    <row r="506" customFormat="false" ht="15" hidden="false" customHeight="true" outlineLevel="0" collapsed="false">
      <c r="A506" s="14" t="n">
        <v>502</v>
      </c>
      <c r="B506" s="47" t="n">
        <v>0.929600884960084</v>
      </c>
      <c r="C506" s="47" t="n">
        <v>0.898287930104199</v>
      </c>
      <c r="D506" s="47" t="n">
        <v>0.898366802778482</v>
      </c>
      <c r="E506" s="47" t="n">
        <v>0.901349247077032</v>
      </c>
      <c r="F506" s="47" t="n">
        <v>0.955747340392087</v>
      </c>
      <c r="G506" s="27" t="n">
        <f aca="false">'Visitor Economics'!$B$5*B506</f>
        <v>29933.1484957147</v>
      </c>
      <c r="H506" s="29" t="n">
        <f aca="false">MAX(0,'Visitor Economics'!$B$18*B506*C506*D506)</f>
        <v>542825.770490452</v>
      </c>
      <c r="I506" s="29" t="n">
        <f aca="false">H506*Controls!$B$52</f>
        <v>770812.594096442</v>
      </c>
      <c r="J506" s="29" t="n">
        <f aca="false">'City Fiscal'!$B$5+(H506*Controls!$B$56*Controls!$B$55)+('City Fiscal'!$B$9*B506*F506)</f>
        <v>142746.84701095</v>
      </c>
      <c r="K506" s="29" t="n">
        <f aca="false">J506-('City Fiscal'!$B$13*E506)</f>
        <v>43598.4298324769</v>
      </c>
      <c r="L506" s="30" t="n">
        <f aca="false">'Mobility &amp; Emissions'!$B$21*B506*F506</f>
        <v>82.9218156959916</v>
      </c>
    </row>
    <row r="507" customFormat="false" ht="15" hidden="false" customHeight="true" outlineLevel="0" collapsed="false">
      <c r="A507" s="14" t="n">
        <v>503</v>
      </c>
      <c r="B507" s="47" t="n">
        <v>0.926597644569315</v>
      </c>
      <c r="C507" s="47" t="n">
        <v>0.937919464042201</v>
      </c>
      <c r="D507" s="47" t="n">
        <v>1.08154748443552</v>
      </c>
      <c r="E507" s="47" t="n">
        <v>0.968392385249379</v>
      </c>
      <c r="F507" s="47" t="n">
        <v>1.09447973343004</v>
      </c>
      <c r="G507" s="27" t="n">
        <f aca="false">'Visitor Economics'!$B$5*B507</f>
        <v>29836.4441551319</v>
      </c>
      <c r="H507" s="29" t="n">
        <f aca="false">MAX(0,'Visitor Economics'!$B$18*B507*C507*D507)</f>
        <v>680137.939814061</v>
      </c>
      <c r="I507" s="29" t="n">
        <f aca="false">H507*Controls!$B$52</f>
        <v>965795.874535966</v>
      </c>
      <c r="J507" s="29" t="n">
        <f aca="false">'City Fiscal'!$B$5+(H507*Controls!$B$56*Controls!$B$55)+('City Fiscal'!$B$9*B507*F507)</f>
        <v>156965.963073311</v>
      </c>
      <c r="K507" s="29" t="n">
        <f aca="false">J507-('City Fiscal'!$B$13*E507)</f>
        <v>50442.8006958796</v>
      </c>
      <c r="L507" s="30" t="n">
        <f aca="false">'Mobility &amp; Emissions'!$B$21*B507*F507</f>
        <v>94.6516289165183</v>
      </c>
    </row>
    <row r="508" customFormat="false" ht="15" hidden="false" customHeight="true" outlineLevel="0" collapsed="false">
      <c r="A508" s="14" t="n">
        <v>504</v>
      </c>
      <c r="B508" s="47" t="n">
        <v>0.837529123059543</v>
      </c>
      <c r="C508" s="47" t="n">
        <v>1.08088478556878</v>
      </c>
      <c r="D508" s="47" t="n">
        <v>0.957732101771177</v>
      </c>
      <c r="E508" s="47" t="n">
        <v>0.902764122661936</v>
      </c>
      <c r="F508" s="47" t="n">
        <v>0.944034568111945</v>
      </c>
      <c r="G508" s="27" t="n">
        <f aca="false">'Visitor Economics'!$B$5*B508</f>
        <v>26968.4377625173</v>
      </c>
      <c r="H508" s="29" t="n">
        <f aca="false">MAX(0,'Visitor Economics'!$B$18*B508*C508*D508)</f>
        <v>627361.748630794</v>
      </c>
      <c r="I508" s="29" t="n">
        <f aca="false">H508*Controls!$B$52</f>
        <v>890853.683055727</v>
      </c>
      <c r="J508" s="29" t="n">
        <f aca="false">'City Fiscal'!$B$5+(H508*Controls!$B$56*Controls!$B$55)+('City Fiscal'!$B$9*B508*F508)</f>
        <v>132921.338257892</v>
      </c>
      <c r="K508" s="29" t="n">
        <f aca="false">J508-('City Fiscal'!$B$13*E508)</f>
        <v>33617.2847650791</v>
      </c>
      <c r="L508" s="30" t="n">
        <f aca="false">'Mobility &amp; Emissions'!$B$21*B508*F508</f>
        <v>73.7933100315528</v>
      </c>
    </row>
    <row r="509" customFormat="false" ht="15" hidden="false" customHeight="true" outlineLevel="0" collapsed="false">
      <c r="A509" s="14" t="n">
        <v>505</v>
      </c>
      <c r="B509" s="47" t="n">
        <v>0.886489436095793</v>
      </c>
      <c r="C509" s="47" t="n">
        <v>1.05041551897154</v>
      </c>
      <c r="D509" s="47" t="n">
        <v>0.817361745141254</v>
      </c>
      <c r="E509" s="47" t="n">
        <v>1.01277384208313</v>
      </c>
      <c r="F509" s="47" t="n">
        <v>0.928086490508922</v>
      </c>
      <c r="G509" s="27" t="n">
        <f aca="false">'Visitor Economics'!$B$5*B509</f>
        <v>28544.9598422845</v>
      </c>
      <c r="H509" s="29" t="n">
        <f aca="false">MAX(0,'Visitor Economics'!$B$18*B509*C509*D509)</f>
        <v>550736.260410584</v>
      </c>
      <c r="I509" s="29" t="n">
        <f aca="false">H509*Controls!$B$52</f>
        <v>782045.489783029</v>
      </c>
      <c r="J509" s="29" t="n">
        <f aca="false">'City Fiscal'!$B$5+(H509*Controls!$B$56*Controls!$B$55)+('City Fiscal'!$B$9*B509*F509)</f>
        <v>135827.427055705</v>
      </c>
      <c r="K509" s="29" t="n">
        <f aca="false">J509-('City Fiscal'!$B$13*E509)</f>
        <v>24422.3044265605</v>
      </c>
      <c r="L509" s="30" t="n">
        <f aca="false">'Mobility &amp; Emissions'!$B$21*B509*F509</f>
        <v>76.7876173576549</v>
      </c>
    </row>
    <row r="510" customFormat="false" ht="15" hidden="false" customHeight="true" outlineLevel="0" collapsed="false">
      <c r="A510" s="14" t="n">
        <v>506</v>
      </c>
      <c r="B510" s="47" t="n">
        <v>0.800493901531919</v>
      </c>
      <c r="C510" s="47" t="n">
        <v>0.948019529760111</v>
      </c>
      <c r="D510" s="47" t="n">
        <v>0.962610240676694</v>
      </c>
      <c r="E510" s="47" t="n">
        <v>0.97993967612822</v>
      </c>
      <c r="F510" s="47" t="n">
        <v>1.01897519318847</v>
      </c>
      <c r="G510" s="27" t="n">
        <f aca="false">'Visitor Economics'!$B$5*B510</f>
        <v>25775.9036293278</v>
      </c>
      <c r="H510" s="29" t="n">
        <f aca="false">MAX(0,'Visitor Economics'!$B$18*B510*C510*D510)</f>
        <v>528591.845368391</v>
      </c>
      <c r="I510" s="29" t="n">
        <f aca="false">H510*Controls!$B$52</f>
        <v>750600.420423115</v>
      </c>
      <c r="J510" s="29" t="n">
        <f aca="false">'City Fiscal'!$B$5+(H510*Controls!$B$56*Controls!$B$55)+('City Fiscal'!$B$9*B510*F510)</f>
        <v>134935.639923106</v>
      </c>
      <c r="K510" s="29" t="n">
        <f aca="false">J510-('City Fiscal'!$B$13*E510)</f>
        <v>27142.2755490016</v>
      </c>
      <c r="L510" s="30" t="n">
        <f aca="false">'Mobility &amp; Emissions'!$B$21*B510*F510</f>
        <v>76.1291209933044</v>
      </c>
    </row>
    <row r="511" customFormat="false" ht="15" hidden="false" customHeight="true" outlineLevel="0" collapsed="false">
      <c r="A511" s="14" t="n">
        <v>507</v>
      </c>
      <c r="B511" s="47" t="n">
        <v>0.932982760328772</v>
      </c>
      <c r="C511" s="47" t="n">
        <v>0.939058808997907</v>
      </c>
      <c r="D511" s="47" t="n">
        <v>1.0599177809473</v>
      </c>
      <c r="E511" s="47" t="n">
        <v>1.13761116603506</v>
      </c>
      <c r="F511" s="47" t="n">
        <v>0.992223415793603</v>
      </c>
      <c r="G511" s="27" t="n">
        <f aca="false">'Visitor Economics'!$B$5*B511</f>
        <v>30042.0448825865</v>
      </c>
      <c r="H511" s="29" t="n">
        <f aca="false">MAX(0,'Visitor Economics'!$B$18*B511*C511*D511)</f>
        <v>671944.273862979</v>
      </c>
      <c r="I511" s="29" t="n">
        <f aca="false">H511*Controls!$B$52</f>
        <v>954160.86888543</v>
      </c>
      <c r="J511" s="29" t="n">
        <f aca="false">'City Fiscal'!$B$5+(H511*Controls!$B$56*Controls!$B$55)+('City Fiscal'!$B$9*B511*F511)</f>
        <v>147535.683556911</v>
      </c>
      <c r="K511" s="29" t="n">
        <f aca="false">J511-('City Fiscal'!$B$13*E511)</f>
        <v>22398.4552930543</v>
      </c>
      <c r="L511" s="30" t="n">
        <f aca="false">'Mobility &amp; Emissions'!$B$21*B511*F511</f>
        <v>86.3997065028053</v>
      </c>
    </row>
    <row r="512" customFormat="false" ht="15" hidden="false" customHeight="true" outlineLevel="0" collapsed="false">
      <c r="A512" s="14" t="n">
        <v>508</v>
      </c>
      <c r="B512" s="47" t="n">
        <v>0.842565166027111</v>
      </c>
      <c r="C512" s="47" t="n">
        <v>1.06229384781499</v>
      </c>
      <c r="D512" s="47" t="n">
        <v>0.994867633672454</v>
      </c>
      <c r="E512" s="47" t="n">
        <v>0.985878570044476</v>
      </c>
      <c r="F512" s="47" t="n">
        <v>1.06964142858413</v>
      </c>
      <c r="G512" s="27" t="n">
        <f aca="false">'Visitor Economics'!$B$5*B512</f>
        <v>27130.598346073</v>
      </c>
      <c r="H512" s="29" t="n">
        <f aca="false">MAX(0,'Visitor Economics'!$B$18*B512*C512*D512)</f>
        <v>644329.681906271</v>
      </c>
      <c r="I512" s="29" t="n">
        <f aca="false">H512*Controls!$B$52</f>
        <v>914948.148306905</v>
      </c>
      <c r="J512" s="29" t="n">
        <f aca="false">'City Fiscal'!$B$5+(H512*Controls!$B$56*Controls!$B$55)+('City Fiscal'!$B$9*B512*F512)</f>
        <v>144759.920775598</v>
      </c>
      <c r="K512" s="29" t="n">
        <f aca="false">J512-('City Fiscal'!$B$13*E512)</f>
        <v>36313.2780707055</v>
      </c>
      <c r="L512" s="30" t="n">
        <f aca="false">'Mobility &amp; Emissions'!$B$21*B512*F512</f>
        <v>84.1145047044238</v>
      </c>
    </row>
    <row r="513" customFormat="false" ht="15" hidden="false" customHeight="true" outlineLevel="0" collapsed="false">
      <c r="A513" s="14" t="n">
        <v>509</v>
      </c>
      <c r="B513" s="47" t="n">
        <v>0.902484284706243</v>
      </c>
      <c r="C513" s="47" t="n">
        <v>0.966693558140772</v>
      </c>
      <c r="D513" s="47" t="n">
        <v>1.12953735018687</v>
      </c>
      <c r="E513" s="47" t="n">
        <v>1.07573368082157</v>
      </c>
      <c r="F513" s="47" t="n">
        <v>1.0109766206712</v>
      </c>
      <c r="G513" s="27" t="n">
        <f aca="false">'Visitor Economics'!$B$5*B513</f>
        <v>29059.993967541</v>
      </c>
      <c r="H513" s="29" t="n">
        <f aca="false">MAX(0,'Visitor Economics'!$B$18*B513*C513*D513)</f>
        <v>713056.163944021</v>
      </c>
      <c r="I513" s="29" t="n">
        <f aca="false">H513*Controls!$B$52</f>
        <v>1012539.75280051</v>
      </c>
      <c r="J513" s="29" t="n">
        <f aca="false">'City Fiscal'!$B$5+(H513*Controls!$B$56*Controls!$B$55)+('City Fiscal'!$B$9*B513*F513)</f>
        <v>146387.601195244</v>
      </c>
      <c r="K513" s="29" t="n">
        <f aca="false">J513-('City Fiscal'!$B$13*E513)</f>
        <v>28056.8963048711</v>
      </c>
      <c r="L513" s="30" t="n">
        <f aca="false">'Mobility &amp; Emissions'!$B$21*B513*F513</f>
        <v>85.1549575825402</v>
      </c>
    </row>
    <row r="514" customFormat="false" ht="15" hidden="false" customHeight="true" outlineLevel="0" collapsed="false">
      <c r="A514" s="14" t="n">
        <v>510</v>
      </c>
      <c r="B514" s="47" t="n">
        <v>0.897012819810481</v>
      </c>
      <c r="C514" s="47" t="n">
        <v>0.931323851891677</v>
      </c>
      <c r="D514" s="47" t="n">
        <v>1.03442808624498</v>
      </c>
      <c r="E514" s="47" t="n">
        <v>0.978725234288691</v>
      </c>
      <c r="F514" s="47" t="n">
        <v>0.961141801317056</v>
      </c>
      <c r="G514" s="27" t="n">
        <f aca="false">'Visitor Economics'!$B$5*B514</f>
        <v>28883.8127978975</v>
      </c>
      <c r="H514" s="29" t="n">
        <f aca="false">MAX(0,'Visitor Economics'!$B$18*B514*C514*D514)</f>
        <v>625308.524048746</v>
      </c>
      <c r="I514" s="29" t="n">
        <f aca="false">H514*Controls!$B$52</f>
        <v>887938.104149219</v>
      </c>
      <c r="J514" s="29" t="n">
        <f aca="false">'City Fiscal'!$B$5+(H514*Controls!$B$56*Controls!$B$55)+('City Fiscal'!$B$9*B514*F514)</f>
        <v>140491.241779572</v>
      </c>
      <c r="K514" s="29" t="n">
        <f aca="false">J514-('City Fiscal'!$B$13*E514)</f>
        <v>32831.4660078159</v>
      </c>
      <c r="L514" s="30" t="n">
        <f aca="false">'Mobility &amp; Emissions'!$B$21*B514*F514</f>
        <v>80.4665334384877</v>
      </c>
    </row>
    <row r="515" customFormat="false" ht="15" hidden="false" customHeight="true" outlineLevel="0" collapsed="false">
      <c r="A515" s="14" t="n">
        <v>511</v>
      </c>
      <c r="B515" s="47" t="n">
        <v>0.953456780961544</v>
      </c>
      <c r="C515" s="47" t="n">
        <v>1.09283384458559</v>
      </c>
      <c r="D515" s="47" t="n">
        <v>1.10599045170545</v>
      </c>
      <c r="E515" s="47" t="n">
        <v>1.08427055180204</v>
      </c>
      <c r="F515" s="47" t="n">
        <v>1.0198366411005</v>
      </c>
      <c r="G515" s="27" t="n">
        <f aca="false">'Visitor Economics'!$B$5*B515</f>
        <v>30701.3083469617</v>
      </c>
      <c r="H515" s="29" t="n">
        <f aca="false">MAX(0,'Visitor Economics'!$B$18*B515*C515*D515)</f>
        <v>833875.464193534</v>
      </c>
      <c r="I515" s="29" t="n">
        <f aca="false">H515*Controls!$B$52</f>
        <v>1184103.15915482</v>
      </c>
      <c r="J515" s="29" t="n">
        <f aca="false">'City Fiscal'!$B$5+(H515*Controls!$B$56*Controls!$B$55)+('City Fiscal'!$B$9*B515*F515)</f>
        <v>153531.876813542</v>
      </c>
      <c r="K515" s="29" t="n">
        <f aca="false">J515-('City Fiscal'!$B$13*E515)</f>
        <v>34262.1161153179</v>
      </c>
      <c r="L515" s="30" t="n">
        <f aca="false">'Mobility &amp; Emissions'!$B$21*B515*F515</f>
        <v>90.7529601489</v>
      </c>
    </row>
    <row r="516" customFormat="false" ht="15" hidden="false" customHeight="true" outlineLevel="0" collapsed="false">
      <c r="A516" s="14" t="n">
        <v>512</v>
      </c>
      <c r="B516" s="47" t="n">
        <v>0.882469507659596</v>
      </c>
      <c r="C516" s="47" t="n">
        <v>0.879472682804797</v>
      </c>
      <c r="D516" s="47" t="n">
        <v>1.04475928766446</v>
      </c>
      <c r="E516" s="47" t="n">
        <v>1.0318973865356</v>
      </c>
      <c r="F516" s="47" t="n">
        <v>0.964727939055838</v>
      </c>
      <c r="G516" s="27" t="n">
        <f aca="false">'Visitor Economics'!$B$5*B516</f>
        <v>28415.518146639</v>
      </c>
      <c r="H516" s="29" t="n">
        <f aca="false">MAX(0,'Visitor Economics'!$B$18*B516*C516*D516)</f>
        <v>586722.809964813</v>
      </c>
      <c r="I516" s="29" t="n">
        <f aca="false">H516*Controls!$B$52</f>
        <v>833146.390150034</v>
      </c>
      <c r="J516" s="29" t="n">
        <f aca="false">'City Fiscal'!$B$5+(H516*Controls!$B$56*Controls!$B$55)+('City Fiscal'!$B$9*B516*F516)</f>
        <v>139094.33708603</v>
      </c>
      <c r="K516" s="29" t="n">
        <f aca="false">J516-('City Fiscal'!$B$13*E516)</f>
        <v>25585.6245671141</v>
      </c>
      <c r="L516" s="30" t="n">
        <f aca="false">'Mobility &amp; Emissions'!$B$21*B516*F516</f>
        <v>79.4572884841631</v>
      </c>
    </row>
    <row r="517" customFormat="false" ht="15" hidden="false" customHeight="true" outlineLevel="0" collapsed="false">
      <c r="A517" s="14" t="n">
        <v>513</v>
      </c>
      <c r="B517" s="47" t="n">
        <v>0.889752448719835</v>
      </c>
      <c r="C517" s="47" t="n">
        <v>1.04211547008552</v>
      </c>
      <c r="D517" s="47" t="n">
        <v>1.05145214682601</v>
      </c>
      <c r="E517" s="47" t="n">
        <v>1.05368711198701</v>
      </c>
      <c r="F517" s="47" t="n">
        <v>1.01931909091225</v>
      </c>
      <c r="G517" s="27" t="n">
        <f aca="false">'Visitor Economics'!$B$5*B517</f>
        <v>28650.0288487787</v>
      </c>
      <c r="H517" s="29" t="n">
        <f aca="false">MAX(0,'Visitor Economics'!$B$18*B517*C517*D517)</f>
        <v>705454.838576613</v>
      </c>
      <c r="I517" s="29" t="n">
        <f aca="false">H517*Controls!$B$52</f>
        <v>1001745.87077879</v>
      </c>
      <c r="J517" s="29" t="n">
        <f aca="false">'City Fiscal'!$B$5+(H517*Controls!$B$56*Controls!$B$55)+('City Fiscal'!$B$9*B517*F517)</f>
        <v>145760.445835936</v>
      </c>
      <c r="K517" s="29" t="n">
        <f aca="false">J517-('City Fiscal'!$B$13*E517)</f>
        <v>29854.8635173653</v>
      </c>
      <c r="L517" s="30" t="n">
        <f aca="false">'Mobility &amp; Emissions'!$B$21*B517*F517</f>
        <v>84.6464066641247</v>
      </c>
    </row>
    <row r="518" customFormat="false" ht="15" hidden="false" customHeight="true" outlineLevel="0" collapsed="false">
      <c r="A518" s="14" t="n">
        <v>514</v>
      </c>
      <c r="B518" s="47" t="n">
        <v>0.905866596045178</v>
      </c>
      <c r="C518" s="47" t="n">
        <v>0.972646650798503</v>
      </c>
      <c r="D518" s="47" t="n">
        <v>0.887854068073485</v>
      </c>
      <c r="E518" s="47" t="n">
        <v>0.99429716004571</v>
      </c>
      <c r="F518" s="47" t="n">
        <v>1.10837668922347</v>
      </c>
      <c r="G518" s="27" t="n">
        <f aca="false">'Visitor Economics'!$B$5*B518</f>
        <v>29168.9043926547</v>
      </c>
      <c r="H518" s="29" t="n">
        <f aca="false">MAX(0,'Visitor Economics'!$B$18*B518*C518*D518)</f>
        <v>566051.04887969</v>
      </c>
      <c r="I518" s="29" t="n">
        <f aca="false">H518*Controls!$B$52</f>
        <v>803792.48940916</v>
      </c>
      <c r="J518" s="29" t="n">
        <f aca="false">'City Fiscal'!$B$5+(H518*Controls!$B$56*Controls!$B$55)+('City Fiscal'!$B$9*B518*F518)</f>
        <v>155155.388601968</v>
      </c>
      <c r="K518" s="29" t="n">
        <f aca="false">J518-('City Fiscal'!$B$13*E518)</f>
        <v>45782.7009969403</v>
      </c>
      <c r="L518" s="30" t="n">
        <f aca="false">'Mobility &amp; Emissions'!$B$21*B518*F518</f>
        <v>93.7088924686006</v>
      </c>
    </row>
    <row r="519" customFormat="false" ht="15" hidden="false" customHeight="true" outlineLevel="0" collapsed="false">
      <c r="A519" s="14" t="n">
        <v>515</v>
      </c>
      <c r="B519" s="47" t="n">
        <v>0.862892701729404</v>
      </c>
      <c r="C519" s="47" t="n">
        <v>1.02733932873112</v>
      </c>
      <c r="D519" s="47" t="n">
        <v>1.12382056427452</v>
      </c>
      <c r="E519" s="47" t="n">
        <v>0.924652281389371</v>
      </c>
      <c r="F519" s="47" t="n">
        <v>1.05313669425422</v>
      </c>
      <c r="G519" s="27" t="n">
        <f aca="false">'Visitor Economics'!$B$5*B519</f>
        <v>27785.1449956868</v>
      </c>
      <c r="H519" s="29" t="n">
        <f aca="false">MAX(0,'Visitor Economics'!$B$18*B519*C519*D519)</f>
        <v>720878.966883881</v>
      </c>
      <c r="I519" s="29" t="n">
        <f aca="false">H519*Controls!$B$52</f>
        <v>1023648.13297511</v>
      </c>
      <c r="J519" s="29" t="n">
        <f aca="false">'City Fiscal'!$B$5+(H519*Controls!$B$56*Controls!$B$55)+('City Fiscal'!$B$9*B519*F519)</f>
        <v>146051.544957404</v>
      </c>
      <c r="K519" s="29" t="n">
        <f aca="false">J519-('City Fiscal'!$B$13*E519)</f>
        <v>44339.7940045733</v>
      </c>
      <c r="L519" s="30" t="n">
        <f aca="false">'Mobility &amp; Emissions'!$B$21*B519*F519</f>
        <v>84.814619341757</v>
      </c>
    </row>
    <row r="520" customFormat="false" ht="15" hidden="false" customHeight="true" outlineLevel="0" collapsed="false">
      <c r="A520" s="14" t="n">
        <v>516</v>
      </c>
      <c r="B520" s="47" t="n">
        <v>0.867429971977578</v>
      </c>
      <c r="C520" s="47" t="n">
        <v>0.873749418601507</v>
      </c>
      <c r="D520" s="47" t="n">
        <v>1.06684364602886</v>
      </c>
      <c r="E520" s="47" t="n">
        <v>1.0699687527122</v>
      </c>
      <c r="F520" s="47" t="n">
        <v>1.00464698145549</v>
      </c>
      <c r="G520" s="27" t="n">
        <f aca="false">'Visitor Economics'!$B$5*B520</f>
        <v>27931.245097678</v>
      </c>
      <c r="H520" s="29" t="n">
        <f aca="false">MAX(0,'Visitor Economics'!$B$18*B520*C520*D520)</f>
        <v>585082.041898845</v>
      </c>
      <c r="I520" s="29" t="n">
        <f aca="false">H520*Controls!$B$52</f>
        <v>830816.49949636</v>
      </c>
      <c r="J520" s="29" t="n">
        <f aca="false">'City Fiscal'!$B$5+(H520*Controls!$B$56*Controls!$B$55)+('City Fiscal'!$B$9*B520*F520)</f>
        <v>141217.385674511</v>
      </c>
      <c r="K520" s="29" t="n">
        <f aca="false">J520-('City Fiscal'!$B$13*E520)</f>
        <v>23520.8228761693</v>
      </c>
      <c r="L520" s="30" t="n">
        <f aca="false">'Mobility &amp; Emissions'!$B$21*B520*F520</f>
        <v>81.3349275578459</v>
      </c>
    </row>
    <row r="521" customFormat="false" ht="15" hidden="false" customHeight="true" outlineLevel="0" collapsed="false">
      <c r="A521" s="14" t="n">
        <v>517</v>
      </c>
      <c r="B521" s="47" t="n">
        <v>0.907194339496693</v>
      </c>
      <c r="C521" s="47" t="n">
        <v>1.02409379582113</v>
      </c>
      <c r="D521" s="47" t="n">
        <v>0.822538218110307</v>
      </c>
      <c r="E521" s="47" t="n">
        <v>1.02630098346215</v>
      </c>
      <c r="F521" s="47" t="n">
        <v>0.93311137106317</v>
      </c>
      <c r="G521" s="27" t="n">
        <f aca="false">'Visitor Economics'!$B$5*B521</f>
        <v>29211.6577317935</v>
      </c>
      <c r="H521" s="29" t="n">
        <f aca="false">MAX(0,'Visitor Economics'!$B$18*B521*C521*D521)</f>
        <v>552956.315182571</v>
      </c>
      <c r="I521" s="29" t="n">
        <f aca="false">H521*Controls!$B$52</f>
        <v>785197.96755925</v>
      </c>
      <c r="J521" s="29" t="n">
        <f aca="false">'City Fiscal'!$B$5+(H521*Controls!$B$56*Controls!$B$55)+('City Fiscal'!$B$9*B521*F521)</f>
        <v>138363.305100469</v>
      </c>
      <c r="K521" s="29" t="n">
        <f aca="false">J521-('City Fiscal'!$B$13*E521)</f>
        <v>25470.1969196327</v>
      </c>
      <c r="L521" s="30" t="n">
        <f aca="false">'Mobility &amp; Emissions'!$B$21*B521*F521</f>
        <v>79.0065303967158</v>
      </c>
    </row>
    <row r="522" customFormat="false" ht="15" hidden="false" customHeight="true" outlineLevel="0" collapsed="false">
      <c r="A522" s="14" t="n">
        <v>518</v>
      </c>
      <c r="B522" s="47" t="n">
        <v>0.816430756237004</v>
      </c>
      <c r="C522" s="47" t="n">
        <v>1.05225046125618</v>
      </c>
      <c r="D522" s="47" t="n">
        <v>1.00436561722756</v>
      </c>
      <c r="E522" s="47" t="n">
        <v>0.925755850901971</v>
      </c>
      <c r="F522" s="47" t="n">
        <v>0.988211793997473</v>
      </c>
      <c r="G522" s="27" t="n">
        <f aca="false">'Visitor Economics'!$B$5*B522</f>
        <v>26289.0703508315</v>
      </c>
      <c r="H522" s="29" t="n">
        <f aca="false">MAX(0,'Visitor Economics'!$B$18*B522*C522*D522)</f>
        <v>624345.503389307</v>
      </c>
      <c r="I522" s="29" t="n">
        <f aca="false">H522*Controls!$B$52</f>
        <v>886570.614812815</v>
      </c>
      <c r="J522" s="29" t="n">
        <f aca="false">'City Fiscal'!$B$5+(H522*Controls!$B$56*Controls!$B$55)+('City Fiscal'!$B$9*B522*F522)</f>
        <v>134614.647987315</v>
      </c>
      <c r="K522" s="29" t="n">
        <f aca="false">J522-('City Fiscal'!$B$13*E522)</f>
        <v>32781.5043880982</v>
      </c>
      <c r="L522" s="30" t="n">
        <f aca="false">'Mobility &amp; Emissions'!$B$21*B522*F522</f>
        <v>75.30062243031</v>
      </c>
    </row>
    <row r="523" customFormat="false" ht="15" hidden="false" customHeight="true" outlineLevel="0" collapsed="false">
      <c r="A523" s="14" t="n">
        <v>519</v>
      </c>
      <c r="B523" s="47" t="n">
        <v>0.894692632718933</v>
      </c>
      <c r="C523" s="47" t="n">
        <v>0.849849623113199</v>
      </c>
      <c r="D523" s="47" t="n">
        <v>1.01313242096057</v>
      </c>
      <c r="E523" s="47" t="n">
        <v>1.13857177197855</v>
      </c>
      <c r="F523" s="47" t="n">
        <v>0.922093689044187</v>
      </c>
      <c r="G523" s="27" t="n">
        <f aca="false">'Visitor Economics'!$B$5*B523</f>
        <v>28809.1027735496</v>
      </c>
      <c r="H523" s="29" t="n">
        <f aca="false">MAX(0,'Visitor Economics'!$B$18*B523*C523*D523)</f>
        <v>557412.662565971</v>
      </c>
      <c r="I523" s="29" t="n">
        <f aca="false">H523*Controls!$B$52</f>
        <v>791525.980843679</v>
      </c>
      <c r="J523" s="29" t="n">
        <f aca="false">'City Fiscal'!$B$5+(H523*Controls!$B$56*Controls!$B$55)+('City Fiscal'!$B$9*B523*F523)</f>
        <v>136109.487849238</v>
      </c>
      <c r="K523" s="29" t="n">
        <f aca="false">J523-('City Fiscal'!$B$13*E523)</f>
        <v>10866.5929315975</v>
      </c>
      <c r="L523" s="30" t="n">
        <f aca="false">'Mobility &amp; Emissions'!$B$21*B523*F523</f>
        <v>76.9977593403132</v>
      </c>
    </row>
    <row r="524" customFormat="false" ht="15" hidden="false" customHeight="true" outlineLevel="0" collapsed="false">
      <c r="A524" s="14" t="n">
        <v>520</v>
      </c>
      <c r="B524" s="47" t="n">
        <v>0.840932749814857</v>
      </c>
      <c r="C524" s="47" t="n">
        <v>1.05332166768732</v>
      </c>
      <c r="D524" s="47" t="n">
        <v>1.00797985621027</v>
      </c>
      <c r="E524" s="47" t="n">
        <v>0.940467838031568</v>
      </c>
      <c r="F524" s="47" t="n">
        <v>1.07980384625921</v>
      </c>
      <c r="G524" s="27" t="n">
        <f aca="false">'Visitor Economics'!$B$5*B524</f>
        <v>27078.0345440384</v>
      </c>
      <c r="H524" s="29" t="n">
        <f aca="false">MAX(0,'Visitor Economics'!$B$18*B524*C524*D524)</f>
        <v>646053.981060342</v>
      </c>
      <c r="I524" s="29" t="n">
        <f aca="false">H524*Controls!$B$52</f>
        <v>917396.653105686</v>
      </c>
      <c r="J524" s="29" t="n">
        <f aca="false">'City Fiscal'!$B$5+(H524*Controls!$B$56*Controls!$B$55)+('City Fiscal'!$B$9*B524*F524)</f>
        <v>145492.273565025</v>
      </c>
      <c r="K524" s="29" t="n">
        <f aca="false">J524-('City Fiscal'!$B$13*E524)</f>
        <v>42040.8113815523</v>
      </c>
      <c r="L524" s="30" t="n">
        <f aca="false">'Mobility &amp; Emissions'!$B$21*B524*F524</f>
        <v>84.7491425156233</v>
      </c>
    </row>
    <row r="525" customFormat="false" ht="15" hidden="false" customHeight="true" outlineLevel="0" collapsed="false">
      <c r="A525" s="14" t="n">
        <v>521</v>
      </c>
      <c r="B525" s="47" t="n">
        <v>0.956596530063411</v>
      </c>
      <c r="C525" s="47" t="n">
        <v>0.934669089121698</v>
      </c>
      <c r="D525" s="47" t="n">
        <v>1.16430431749499</v>
      </c>
      <c r="E525" s="47" t="n">
        <v>0.916173281112791</v>
      </c>
      <c r="F525" s="47" t="n">
        <v>1.08376179350254</v>
      </c>
      <c r="G525" s="27" t="n">
        <f aca="false">'Visitor Economics'!$B$5*B525</f>
        <v>30802.4082680418</v>
      </c>
      <c r="H525" s="29" t="n">
        <f aca="false">MAX(0,'Visitor Economics'!$B$18*B525*C525*D525)</f>
        <v>753265.121716528</v>
      </c>
      <c r="I525" s="29" t="n">
        <f aca="false">H525*Controls!$B$52</f>
        <v>1069636.47283747</v>
      </c>
      <c r="J525" s="29" t="n">
        <f aca="false">'City Fiscal'!$B$5+(H525*Controls!$B$56*Controls!$B$55)+('City Fiscal'!$B$9*B525*F525)</f>
        <v>159834.679185986</v>
      </c>
      <c r="K525" s="29" t="n">
        <f aca="false">J525-('City Fiscal'!$B$13*E525)</f>
        <v>59055.6182635789</v>
      </c>
      <c r="L525" s="30" t="n">
        <f aca="false">'Mobility &amp; Emissions'!$B$21*B525*F525</f>
        <v>96.7590986535913</v>
      </c>
    </row>
    <row r="526" customFormat="false" ht="15" hidden="false" customHeight="true" outlineLevel="0" collapsed="false">
      <c r="A526" s="14" t="n">
        <v>522</v>
      </c>
      <c r="B526" s="47" t="n">
        <v>0.952917960675006</v>
      </c>
      <c r="C526" s="47" t="n">
        <v>0.96068048905232</v>
      </c>
      <c r="D526" s="47" t="n">
        <v>0.968736059087817</v>
      </c>
      <c r="E526" s="47" t="n">
        <v>0.975523310149958</v>
      </c>
      <c r="F526" s="47" t="n">
        <v>0.995353018544508</v>
      </c>
      <c r="G526" s="27" t="n">
        <f aca="false">'Visitor Economics'!$B$5*B526</f>
        <v>30683.9583337352</v>
      </c>
      <c r="H526" s="29" t="n">
        <f aca="false">MAX(0,'Visitor Economics'!$B$18*B526*C526*D526)</f>
        <v>641703.81081637</v>
      </c>
      <c r="I526" s="29" t="n">
        <f aca="false">H526*Controls!$B$52</f>
        <v>911219.411359245</v>
      </c>
      <c r="J526" s="29" t="n">
        <f aca="false">'City Fiscal'!$B$5+(H526*Controls!$B$56*Controls!$B$55)+('City Fiscal'!$B$9*B526*F526)</f>
        <v>149753.879937808</v>
      </c>
      <c r="K526" s="29" t="n">
        <f aca="false">J526-('City Fiscal'!$B$13*E526)</f>
        <v>42446.3158213123</v>
      </c>
      <c r="L526" s="30" t="n">
        <f aca="false">'Mobility &amp; Emissions'!$B$21*B526*F526</f>
        <v>88.5241625344714</v>
      </c>
    </row>
    <row r="527" customFormat="false" ht="15" hidden="false" customHeight="true" outlineLevel="0" collapsed="false">
      <c r="A527" s="14" t="n">
        <v>523</v>
      </c>
      <c r="B527" s="47" t="n">
        <v>0.99</v>
      </c>
      <c r="C527" s="47" t="n">
        <v>1.07144075783128</v>
      </c>
      <c r="D527" s="47" t="n">
        <v>0.958022751354988</v>
      </c>
      <c r="E527" s="47" t="n">
        <v>0.957565620705175</v>
      </c>
      <c r="F527" s="47" t="n">
        <v>0.962749722837797</v>
      </c>
      <c r="G527" s="27" t="n">
        <f aca="false">'Visitor Economics'!$B$5*B527</f>
        <v>31878</v>
      </c>
      <c r="H527" s="29" t="n">
        <f aca="false">MAX(0,'Visitor Economics'!$B$18*B527*C527*D527)</f>
        <v>735315.719038706</v>
      </c>
      <c r="I527" s="29" t="n">
        <f aca="false">H527*Controls!$B$52</f>
        <v>1044148.32103496</v>
      </c>
      <c r="J527" s="29" t="n">
        <f aca="false">'City Fiscal'!$B$5+(H527*Controls!$B$56*Controls!$B$55)+('City Fiscal'!$B$9*B527*F527)</f>
        <v>150851.797704724</v>
      </c>
      <c r="K527" s="29" t="n">
        <f aca="false">J527-('City Fiscal'!$B$13*E527)</f>
        <v>45519.5794271546</v>
      </c>
      <c r="L527" s="30" t="n">
        <f aca="false">'Mobility &amp; Emissions'!$B$21*B527*F527</f>
        <v>88.9565176239106</v>
      </c>
    </row>
    <row r="528" customFormat="false" ht="15" hidden="false" customHeight="true" outlineLevel="0" collapsed="false">
      <c r="A528" s="14" t="n">
        <v>524</v>
      </c>
      <c r="B528" s="47" t="n">
        <v>0.899005882207562</v>
      </c>
      <c r="C528" s="47" t="n">
        <v>1.00482187707729</v>
      </c>
      <c r="D528" s="47" t="n">
        <v>1.02824844983631</v>
      </c>
      <c r="E528" s="47" t="n">
        <v>0.916574841444343</v>
      </c>
      <c r="F528" s="47" t="n">
        <v>0.972505101934573</v>
      </c>
      <c r="G528" s="27" t="n">
        <f aca="false">'Visitor Economics'!$B$5*B528</f>
        <v>28947.9894070835</v>
      </c>
      <c r="H528" s="29" t="n">
        <f aca="false">MAX(0,'Visitor Economics'!$B$18*B528*C528*D528)</f>
        <v>672116.176837742</v>
      </c>
      <c r="I528" s="29" t="n">
        <f aca="false">H528*Controls!$B$52</f>
        <v>954404.971109594</v>
      </c>
      <c r="J528" s="29" t="n">
        <f aca="false">'City Fiscal'!$B$5+(H528*Controls!$B$56*Controls!$B$55)+('City Fiscal'!$B$9*B528*F528)</f>
        <v>142081.184788878</v>
      </c>
      <c r="K528" s="29" t="n">
        <f aca="false">J528-('City Fiscal'!$B$13*E528)</f>
        <v>41257.9522299998</v>
      </c>
      <c r="L528" s="30" t="n">
        <f aca="false">'Mobility &amp; Emissions'!$B$21*B528*F528</f>
        <v>81.5987673274127</v>
      </c>
    </row>
    <row r="529" customFormat="false" ht="15" hidden="false" customHeight="true" outlineLevel="0" collapsed="false">
      <c r="A529" s="14" t="n">
        <v>525</v>
      </c>
      <c r="B529" s="47" t="n">
        <v>0.886961675379549</v>
      </c>
      <c r="C529" s="47" t="n">
        <v>1.08527248929163</v>
      </c>
      <c r="D529" s="47" t="n">
        <v>0.911210136803526</v>
      </c>
      <c r="E529" s="47" t="n">
        <v>1.02654139085728</v>
      </c>
      <c r="F529" s="47" t="n">
        <v>0.985249768946198</v>
      </c>
      <c r="G529" s="27" t="n">
        <f aca="false">'Visitor Economics'!$B$5*B529</f>
        <v>28560.1659472215</v>
      </c>
      <c r="H529" s="29" t="n">
        <f aca="false">MAX(0,'Visitor Economics'!$B$18*B529*C529*D529)</f>
        <v>634682.992893721</v>
      </c>
      <c r="I529" s="29" t="n">
        <f aca="false">H529*Controls!$B$52</f>
        <v>901249.849909084</v>
      </c>
      <c r="J529" s="29" t="n">
        <f aca="false">'City Fiscal'!$B$5+(H529*Controls!$B$56*Controls!$B$55)+('City Fiscal'!$B$9*B529*F529)</f>
        <v>141795.237460187</v>
      </c>
      <c r="K529" s="29" t="n">
        <f aca="false">J529-('City Fiscal'!$B$13*E529)</f>
        <v>28875.6844658866</v>
      </c>
      <c r="L529" s="30" t="n">
        <f aca="false">'Mobility &amp; Emissions'!$B$21*B529*F529</f>
        <v>81.5605926662878</v>
      </c>
    </row>
    <row r="530" customFormat="false" ht="15" hidden="false" customHeight="true" outlineLevel="0" collapsed="false">
      <c r="A530" s="14" t="n">
        <v>526</v>
      </c>
      <c r="B530" s="47" t="n">
        <v>0.858521334680455</v>
      </c>
      <c r="C530" s="47" t="n">
        <v>0.8979422863406</v>
      </c>
      <c r="D530" s="47" t="n">
        <v>1.03579507475317</v>
      </c>
      <c r="E530" s="47" t="n">
        <v>0.923162493184296</v>
      </c>
      <c r="F530" s="47" t="n">
        <v>1.05061438735914</v>
      </c>
      <c r="G530" s="27" t="n">
        <f aca="false">'Visitor Economics'!$B$5*B530</f>
        <v>27644.3869767107</v>
      </c>
      <c r="H530" s="29" t="n">
        <f aca="false">MAX(0,'Visitor Economics'!$B$18*B530*C530*D530)</f>
        <v>577787.347411703</v>
      </c>
      <c r="I530" s="29" t="n">
        <f aca="false">H530*Controls!$B$52</f>
        <v>820458.033324618</v>
      </c>
      <c r="J530" s="29" t="n">
        <f aca="false">'City Fiscal'!$B$5+(H530*Controls!$B$56*Controls!$B$55)+('City Fiscal'!$B$9*B530*F530)</f>
        <v>144406.388838036</v>
      </c>
      <c r="K530" s="29" t="n">
        <f aca="false">J530-('City Fiscal'!$B$13*E530)</f>
        <v>42858.514587763</v>
      </c>
      <c r="L530" s="30" t="n">
        <f aca="false">'Mobility &amp; Emissions'!$B$21*B530*F530</f>
        <v>84.1828476075908</v>
      </c>
    </row>
    <row r="531" customFormat="false" ht="15" hidden="false" customHeight="true" outlineLevel="0" collapsed="false">
      <c r="A531" s="14" t="n">
        <v>527</v>
      </c>
      <c r="B531" s="47" t="n">
        <v>1.01225403330759</v>
      </c>
      <c r="C531" s="47" t="n">
        <v>0.918178409031721</v>
      </c>
      <c r="D531" s="47" t="n">
        <v>1.05899280118278</v>
      </c>
      <c r="E531" s="47" t="n">
        <v>1.07884582973237</v>
      </c>
      <c r="F531" s="47" t="n">
        <v>1.05383607745105</v>
      </c>
      <c r="G531" s="27" t="n">
        <f aca="false">'Visitor Economics'!$B$5*B531</f>
        <v>32594.5798725044</v>
      </c>
      <c r="H531" s="29" t="n">
        <f aca="false">MAX(0,'Visitor Economics'!$B$18*B531*C531*D531)</f>
        <v>712203.771940525</v>
      </c>
      <c r="I531" s="29" t="n">
        <f aca="false">H531*Controls!$B$52</f>
        <v>1011329.35615554</v>
      </c>
      <c r="J531" s="29" t="n">
        <f aca="false">'City Fiscal'!$B$5+(H531*Controls!$B$56*Controls!$B$55)+('City Fiscal'!$B$9*B531*F531)</f>
        <v>162753.232897647</v>
      </c>
      <c r="K531" s="29" t="n">
        <f aca="false">J531-('City Fiscal'!$B$13*E531)</f>
        <v>44080.1916270866</v>
      </c>
      <c r="L531" s="30" t="n">
        <f aca="false">'Mobility &amp; Emissions'!$B$21*B531*F531</f>
        <v>99.561574160816</v>
      </c>
    </row>
    <row r="532" customFormat="false" ht="15" hidden="false" customHeight="true" outlineLevel="0" collapsed="false">
      <c r="A532" s="14" t="n">
        <v>528</v>
      </c>
      <c r="B532" s="47" t="n">
        <v>0.899146968068852</v>
      </c>
      <c r="C532" s="47" t="n">
        <v>1.04862773647978</v>
      </c>
      <c r="D532" s="47" t="n">
        <v>0.901810919050798</v>
      </c>
      <c r="E532" s="47" t="n">
        <v>0.973519705575539</v>
      </c>
      <c r="F532" s="47" t="n">
        <v>0.905520266569965</v>
      </c>
      <c r="G532" s="27" t="n">
        <f aca="false">'Visitor Economics'!$B$5*B532</f>
        <v>28952.532371817</v>
      </c>
      <c r="H532" s="29" t="n">
        <f aca="false">MAX(0,'Visitor Economics'!$B$18*B532*C532*D532)</f>
        <v>615264.962297704</v>
      </c>
      <c r="I532" s="29" t="n">
        <f aca="false">H532*Controls!$B$52</f>
        <v>873676.24646274</v>
      </c>
      <c r="J532" s="29" t="n">
        <f aca="false">'City Fiscal'!$B$5+(H532*Controls!$B$56*Controls!$B$55)+('City Fiscal'!$B$9*B532*F532)</f>
        <v>135339.505993465</v>
      </c>
      <c r="K532" s="29" t="n">
        <f aca="false">J532-('City Fiscal'!$B$13*E532)</f>
        <v>28252.3383801557</v>
      </c>
      <c r="L532" s="30" t="n">
        <f aca="false">'Mobility &amp; Emissions'!$B$21*B532*F532</f>
        <v>75.9902783532428</v>
      </c>
    </row>
    <row r="533" customFormat="false" ht="15" hidden="false" customHeight="true" outlineLevel="0" collapsed="false">
      <c r="A533" s="14" t="n">
        <v>529</v>
      </c>
      <c r="B533" s="47" t="n">
        <v>0.858092253136915</v>
      </c>
      <c r="C533" s="47" t="n">
        <v>0.90490583018851</v>
      </c>
      <c r="D533" s="47" t="n">
        <v>1.1418739161904</v>
      </c>
      <c r="E533" s="47" t="n">
        <v>0.936880708416744</v>
      </c>
      <c r="F533" s="47" t="n">
        <v>1.02990628659251</v>
      </c>
      <c r="G533" s="27" t="n">
        <f aca="false">'Visitor Economics'!$B$5*B533</f>
        <v>27630.5705510087</v>
      </c>
      <c r="H533" s="29" t="n">
        <f aca="false">MAX(0,'Visitor Economics'!$B$18*B533*C533*D533)</f>
        <v>641579.072770613</v>
      </c>
      <c r="I533" s="29" t="n">
        <f aca="false">H533*Controls!$B$52</f>
        <v>911042.283334271</v>
      </c>
      <c r="J533" s="29" t="n">
        <f aca="false">'City Fiscal'!$B$5+(H533*Controls!$B$56*Controls!$B$55)+('City Fiscal'!$B$9*B533*F533)</f>
        <v>142887.341208751</v>
      </c>
      <c r="K533" s="29" t="n">
        <f aca="false">J533-('City Fiscal'!$B$13*E533)</f>
        <v>39830.4632829095</v>
      </c>
      <c r="L533" s="30" t="n">
        <f aca="false">'Mobility &amp; Emissions'!$B$21*B533*F533</f>
        <v>82.482319759134</v>
      </c>
    </row>
    <row r="534" customFormat="false" ht="15" hidden="false" customHeight="true" outlineLevel="0" collapsed="false">
      <c r="A534" s="14" t="n">
        <v>530</v>
      </c>
      <c r="B534" s="47" t="n">
        <v>0.972125163185657</v>
      </c>
      <c r="C534" s="47" t="n">
        <v>1.03828096916874</v>
      </c>
      <c r="D534" s="47" t="n">
        <v>0.9055726881133</v>
      </c>
      <c r="E534" s="47" t="n">
        <v>1.1425</v>
      </c>
      <c r="F534" s="47" t="n">
        <v>0.959098579275809</v>
      </c>
      <c r="G534" s="27" t="n">
        <f aca="false">'Visitor Economics'!$B$5*B534</f>
        <v>31302.4302545782</v>
      </c>
      <c r="H534" s="29" t="n">
        <f aca="false">MAX(0,'Visitor Economics'!$B$18*B534*C534*D534)</f>
        <v>661386.101114929</v>
      </c>
      <c r="I534" s="29" t="n">
        <f aca="false">H534*Controls!$B$52</f>
        <v>939168.263583199</v>
      </c>
      <c r="J534" s="29" t="n">
        <f aca="false">'City Fiscal'!$B$5+(H534*Controls!$B$56*Controls!$B$55)+('City Fiscal'!$B$9*B534*F534)</f>
        <v>148171.12777847</v>
      </c>
      <c r="K534" s="29" t="n">
        <f aca="false">J534-('City Fiscal'!$B$13*E534)</f>
        <v>22496.12777847</v>
      </c>
      <c r="L534" s="30" t="n">
        <f aca="false">'Mobility &amp; Emissions'!$B$21*B534*F534</f>
        <v>87.0191043420559</v>
      </c>
    </row>
    <row r="535" customFormat="false" ht="15" hidden="false" customHeight="true" outlineLevel="0" collapsed="false">
      <c r="A535" s="14" t="n">
        <v>531</v>
      </c>
      <c r="B535" s="47" t="n">
        <v>0.962345858778402</v>
      </c>
      <c r="C535" s="47" t="n">
        <v>0.943729543763808</v>
      </c>
      <c r="D535" s="47" t="n">
        <v>0.999862457004374</v>
      </c>
      <c r="E535" s="47" t="n">
        <v>1.186507874504</v>
      </c>
      <c r="F535" s="47" t="n">
        <v>1.04090142072419</v>
      </c>
      <c r="G535" s="27" t="n">
        <f aca="false">'Visitor Economics'!$B$5*B535</f>
        <v>30987.5366526645</v>
      </c>
      <c r="H535" s="29" t="n">
        <f aca="false">MAX(0,'Visitor Economics'!$B$18*B535*C535*D535)</f>
        <v>657073.063904041</v>
      </c>
      <c r="I535" s="29" t="n">
        <f aca="false">H535*Controls!$B$52</f>
        <v>933043.750743738</v>
      </c>
      <c r="J535" s="29" t="n">
        <f aca="false">'City Fiscal'!$B$5+(H535*Controls!$B$56*Controls!$B$55)+('City Fiscal'!$B$9*B535*F535)</f>
        <v>155497.643943262</v>
      </c>
      <c r="K535" s="29" t="n">
        <f aca="false">J535-('City Fiscal'!$B$13*E535)</f>
        <v>24981.7777478223</v>
      </c>
      <c r="L535" s="30" t="n">
        <f aca="false">'Mobility &amp; Emissions'!$B$21*B535*F535</f>
        <v>93.4910332304644</v>
      </c>
    </row>
    <row r="536" customFormat="false" ht="15" hidden="false" customHeight="true" outlineLevel="0" collapsed="false">
      <c r="A536" s="14" t="n">
        <v>532</v>
      </c>
      <c r="B536" s="47" t="n">
        <v>0.928283044097615</v>
      </c>
      <c r="C536" s="47" t="n">
        <v>1.03525331864905</v>
      </c>
      <c r="D536" s="47" t="n">
        <v>1.05413333616973</v>
      </c>
      <c r="E536" s="47" t="n">
        <v>1.0381480469762</v>
      </c>
      <c r="F536" s="47" t="n">
        <v>1.04256397252318</v>
      </c>
      <c r="G536" s="27" t="n">
        <f aca="false">'Visitor Economics'!$B$5*B536</f>
        <v>29890.7140199432</v>
      </c>
      <c r="H536" s="29" t="n">
        <f aca="false">MAX(0,'Visitor Economics'!$B$18*B536*C536*D536)</f>
        <v>733022.434232688</v>
      </c>
      <c r="I536" s="29" t="n">
        <f aca="false">H536*Controls!$B$52</f>
        <v>1040891.85661042</v>
      </c>
      <c r="J536" s="29" t="n">
        <f aca="false">'City Fiscal'!$B$5+(H536*Controls!$B$56*Controls!$B$55)+('City Fiscal'!$B$9*B536*F536)</f>
        <v>152393.055854754</v>
      </c>
      <c r="K536" s="29" t="n">
        <f aca="false">J536-('City Fiscal'!$B$13*E536)</f>
        <v>38196.770687372</v>
      </c>
      <c r="L536" s="30" t="n">
        <f aca="false">'Mobility &amp; Emissions'!$B$21*B536*F536</f>
        <v>90.325902023215</v>
      </c>
    </row>
    <row r="537" customFormat="false" ht="15" hidden="false" customHeight="true" outlineLevel="0" collapsed="false">
      <c r="A537" s="14" t="n">
        <v>533</v>
      </c>
      <c r="B537" s="47" t="n">
        <v>0.94184630526968</v>
      </c>
      <c r="C537" s="47" t="n">
        <v>0.910448880590088</v>
      </c>
      <c r="D537" s="47" t="n">
        <v>1.00412655694443</v>
      </c>
      <c r="E537" s="47" t="n">
        <v>1.0272641699232</v>
      </c>
      <c r="F537" s="47" t="n">
        <v>1.12932392687187</v>
      </c>
      <c r="G537" s="27" t="n">
        <f aca="false">'Visitor Economics'!$B$5*B537</f>
        <v>30327.4510296837</v>
      </c>
      <c r="H537" s="29" t="n">
        <f aca="false">MAX(0,'Visitor Economics'!$B$18*B537*C537*D537)</f>
        <v>623044.013755776</v>
      </c>
      <c r="I537" s="29" t="n">
        <f aca="false">H537*Controls!$B$52</f>
        <v>884722.499533202</v>
      </c>
      <c r="J537" s="29" t="n">
        <f aca="false">'City Fiscal'!$B$5+(H537*Controls!$B$56*Controls!$B$55)+('City Fiscal'!$B$9*B537*F537)</f>
        <v>161846.668826809</v>
      </c>
      <c r="K537" s="29" t="n">
        <f aca="false">J537-('City Fiscal'!$B$13*E537)</f>
        <v>48847.6101352573</v>
      </c>
      <c r="L537" s="30" t="n">
        <f aca="false">'Mobility &amp; Emissions'!$B$21*B537*F537</f>
        <v>99.2722223835513</v>
      </c>
    </row>
    <row r="538" customFormat="false" ht="15" hidden="false" customHeight="true" outlineLevel="0" collapsed="false">
      <c r="A538" s="14" t="n">
        <v>534</v>
      </c>
      <c r="B538" s="47" t="n">
        <v>0.935217926423093</v>
      </c>
      <c r="C538" s="47" t="n">
        <v>1.02278888952388</v>
      </c>
      <c r="D538" s="47" t="n">
        <v>0.96791247962815</v>
      </c>
      <c r="E538" s="47" t="n">
        <v>0.996284145628585</v>
      </c>
      <c r="F538" s="47" t="n">
        <v>1.01829009148891</v>
      </c>
      <c r="G538" s="27" t="n">
        <f aca="false">'Visitor Economics'!$B$5*B538</f>
        <v>30114.0172308236</v>
      </c>
      <c r="H538" s="29" t="n">
        <f aca="false">MAX(0,'Visitor Economics'!$B$18*B538*C538*D538)</f>
        <v>669930.242536383</v>
      </c>
      <c r="I538" s="29" t="n">
        <f aca="false">H538*Controls!$B$52</f>
        <v>951300.944401663</v>
      </c>
      <c r="J538" s="29" t="n">
        <f aca="false">'City Fiscal'!$B$5+(H538*Controls!$B$56*Controls!$B$55)+('City Fiscal'!$B$9*B538*F538)</f>
        <v>150343.350629673</v>
      </c>
      <c r="K538" s="29" t="n">
        <f aca="false">J538-('City Fiscal'!$B$13*E538)</f>
        <v>40752.0946105288</v>
      </c>
      <c r="L538" s="30" t="n">
        <f aca="false">'Mobility &amp; Emissions'!$B$21*B538*F538</f>
        <v>88.8819383390729</v>
      </c>
    </row>
    <row r="539" customFormat="false" ht="15" hidden="false" customHeight="true" outlineLevel="0" collapsed="false">
      <c r="A539" s="14" t="n">
        <v>535</v>
      </c>
      <c r="B539" s="47" t="n">
        <v>0.839538223016815</v>
      </c>
      <c r="C539" s="47" t="n">
        <v>0.933485681916267</v>
      </c>
      <c r="D539" s="47" t="n">
        <v>1.0883097096298</v>
      </c>
      <c r="E539" s="47" t="n">
        <v>1.09122736381857</v>
      </c>
      <c r="F539" s="47" t="n">
        <v>0.989669252163817</v>
      </c>
      <c r="G539" s="27" t="n">
        <f aca="false">'Visitor Economics'!$B$5*B539</f>
        <v>27033.1307811414</v>
      </c>
      <c r="H539" s="29" t="n">
        <f aca="false">MAX(0,'Visitor Economics'!$B$18*B539*C539*D539)</f>
        <v>617156.501074009</v>
      </c>
      <c r="I539" s="29" t="n">
        <f aca="false">H539*Controls!$B$52</f>
        <v>876362.231525092</v>
      </c>
      <c r="J539" s="29" t="n">
        <f aca="false">'City Fiscal'!$B$5+(H539*Controls!$B$56*Controls!$B$55)+('City Fiscal'!$B$9*B539*F539)</f>
        <v>137119.694981038</v>
      </c>
      <c r="K539" s="29" t="n">
        <f aca="false">J539-('City Fiscal'!$B$13*E539)</f>
        <v>17084.6849609954</v>
      </c>
      <c r="L539" s="30" t="n">
        <f aca="false">'Mobility &amp; Emissions'!$B$21*B539*F539</f>
        <v>77.5460583515891</v>
      </c>
    </row>
    <row r="540" customFormat="false" ht="15" hidden="false" customHeight="true" outlineLevel="0" collapsed="false">
      <c r="A540" s="14" t="n">
        <v>536</v>
      </c>
      <c r="B540" s="47" t="n">
        <v>0.976045478048328</v>
      </c>
      <c r="C540" s="47" t="n">
        <v>0.929366356801349</v>
      </c>
      <c r="D540" s="47" t="n">
        <v>0.843908528382369</v>
      </c>
      <c r="E540" s="47" t="n">
        <v>0.97750142856495</v>
      </c>
      <c r="F540" s="47" t="n">
        <v>1.0736619361</v>
      </c>
      <c r="G540" s="27" t="n">
        <f aca="false">'Visitor Economics'!$B$5*B540</f>
        <v>31428.6643931562</v>
      </c>
      <c r="H540" s="29" t="n">
        <f aca="false">MAX(0,'Visitor Economics'!$B$18*B540*C540*D540)</f>
        <v>553919.999768055</v>
      </c>
      <c r="I540" s="29" t="n">
        <f aca="false">H540*Controls!$B$52</f>
        <v>786566.399670639</v>
      </c>
      <c r="J540" s="29" t="n">
        <f aca="false">'City Fiscal'!$B$5+(H540*Controls!$B$56*Controls!$B$55)+('City Fiscal'!$B$9*B540*F540)</f>
        <v>159732.913276961</v>
      </c>
      <c r="K540" s="29" t="n">
        <f aca="false">J540-('City Fiscal'!$B$13*E540)</f>
        <v>52207.7561348163</v>
      </c>
      <c r="L540" s="30" t="n">
        <f aca="false">'Mobility &amp; Emissions'!$B$21*B540*F540</f>
        <v>97.8062902770481</v>
      </c>
    </row>
    <row r="541" customFormat="false" ht="15" hidden="false" customHeight="true" outlineLevel="0" collapsed="false">
      <c r="A541" s="14" t="n">
        <v>537</v>
      </c>
      <c r="B541" s="47" t="n">
        <v>0.928545093078611</v>
      </c>
      <c r="C541" s="47" t="n">
        <v>0.927121426428143</v>
      </c>
      <c r="D541" s="47" t="n">
        <v>1.02275288780713</v>
      </c>
      <c r="E541" s="47" t="n">
        <v>1.01850755951868</v>
      </c>
      <c r="F541" s="47" t="n">
        <v>0.926338063899997</v>
      </c>
      <c r="G541" s="27" t="n">
        <f aca="false">'Visitor Economics'!$B$5*B541</f>
        <v>29899.1519971313</v>
      </c>
      <c r="H541" s="29" t="n">
        <f aca="false">MAX(0,'Visitor Economics'!$B$18*B541*C541*D541)</f>
        <v>637096.180377917</v>
      </c>
      <c r="I541" s="29" t="n">
        <f aca="false">H541*Controls!$B$52</f>
        <v>904676.576136642</v>
      </c>
      <c r="J541" s="29" t="n">
        <f aca="false">'City Fiscal'!$B$5+(H541*Controls!$B$56*Controls!$B$55)+('City Fiscal'!$B$9*B541*F541)</f>
        <v>140354.463224571</v>
      </c>
      <c r="K541" s="29" t="n">
        <f aca="false">J541-('City Fiscal'!$B$13*E541)</f>
        <v>28318.6316775164</v>
      </c>
      <c r="L541" s="30" t="n">
        <f aca="false">'Mobility &amp; Emissions'!$B$21*B541*F541</f>
        <v>80.2789503786356</v>
      </c>
    </row>
    <row r="542" customFormat="false" ht="15" hidden="false" customHeight="true" outlineLevel="0" collapsed="false">
      <c r="A542" s="14" t="n">
        <v>538</v>
      </c>
      <c r="B542" s="47" t="n">
        <v>0.890970266287867</v>
      </c>
      <c r="C542" s="47" t="n">
        <v>1.02095455588469</v>
      </c>
      <c r="D542" s="47" t="n">
        <v>0.845506488228266</v>
      </c>
      <c r="E542" s="47" t="n">
        <v>0.964159286901677</v>
      </c>
      <c r="F542" s="47" t="n">
        <v>0.944273538174824</v>
      </c>
      <c r="G542" s="27" t="n">
        <f aca="false">'Visitor Economics'!$B$5*B542</f>
        <v>28689.2425744693</v>
      </c>
      <c r="H542" s="29" t="n">
        <f aca="false">MAX(0,'Visitor Economics'!$B$18*B542*C542*D542)</f>
        <v>556520.589558166</v>
      </c>
      <c r="I542" s="29" t="n">
        <f aca="false">H542*Controls!$B$52</f>
        <v>790259.237172596</v>
      </c>
      <c r="J542" s="29" t="n">
        <f aca="false">'City Fiscal'!$B$5+(H542*Controls!$B$56*Controls!$B$55)+('City Fiscal'!$B$9*B542*F542)</f>
        <v>137835.563399683</v>
      </c>
      <c r="K542" s="29" t="n">
        <f aca="false">J542-('City Fiscal'!$B$13*E542)</f>
        <v>31778.0418404988</v>
      </c>
      <c r="L542" s="30" t="n">
        <f aca="false">'Mobility &amp; Emissions'!$B$21*B542*F542</f>
        <v>78.5217927818248</v>
      </c>
    </row>
    <row r="543" customFormat="false" ht="15" hidden="false" customHeight="true" outlineLevel="0" collapsed="false">
      <c r="A543" s="14" t="n">
        <v>539</v>
      </c>
      <c r="B543" s="47" t="n">
        <v>0.924438501476798</v>
      </c>
      <c r="C543" s="47" t="n">
        <v>0.926616133863501</v>
      </c>
      <c r="D543" s="47" t="n">
        <v>1.01066498375708</v>
      </c>
      <c r="E543" s="47" t="n">
        <v>1.05924164500604</v>
      </c>
      <c r="F543" s="47" t="n">
        <v>0.948704103258173</v>
      </c>
      <c r="G543" s="27" t="n">
        <f aca="false">'Visitor Economics'!$B$5*B543</f>
        <v>29766.9197475529</v>
      </c>
      <c r="H543" s="29" t="n">
        <f aca="false">MAX(0,'Visitor Economics'!$B$18*B543*C543*D543)</f>
        <v>626440.418796802</v>
      </c>
      <c r="I543" s="29" t="n">
        <f aca="false">H543*Controls!$B$52</f>
        <v>889545.394691459</v>
      </c>
      <c r="J543" s="29" t="n">
        <f aca="false">'City Fiscal'!$B$5+(H543*Controls!$B$56*Controls!$B$55)+('City Fiscal'!$B$9*B543*F543)</f>
        <v>142074.83030998</v>
      </c>
      <c r="K543" s="29" t="n">
        <f aca="false">J543-('City Fiscal'!$B$13*E543)</f>
        <v>25558.2493593158</v>
      </c>
      <c r="L543" s="30" t="n">
        <f aca="false">'Mobility &amp; Emissions'!$B$21*B543*F543</f>
        <v>81.8536368286357</v>
      </c>
    </row>
    <row r="544" customFormat="false" ht="15" hidden="false" customHeight="true" outlineLevel="0" collapsed="false">
      <c r="A544" s="14" t="n">
        <v>540</v>
      </c>
      <c r="B544" s="47" t="n">
        <v>0.972376476400837</v>
      </c>
      <c r="C544" s="47" t="n">
        <v>0.903300660261489</v>
      </c>
      <c r="D544" s="47" t="n">
        <v>0.986274331898082</v>
      </c>
      <c r="E544" s="47" t="n">
        <v>1.09603977786454</v>
      </c>
      <c r="F544" s="47" t="n">
        <v>1.03885819868294</v>
      </c>
      <c r="G544" s="27" t="n">
        <f aca="false">'Visitor Economics'!$B$5*B544</f>
        <v>31310.522540107</v>
      </c>
      <c r="H544" s="29" t="n">
        <f aca="false">MAX(0,'Visitor Economics'!$B$18*B544*C544*D544)</f>
        <v>626843.564842782</v>
      </c>
      <c r="I544" s="29" t="n">
        <f aca="false">H544*Controls!$B$52</f>
        <v>890117.862076751</v>
      </c>
      <c r="J544" s="29" t="n">
        <f aca="false">'City Fiscal'!$B$5+(H544*Controls!$B$56*Controls!$B$55)+('City Fiscal'!$B$9*B544*F544)</f>
        <v>156198.388394907</v>
      </c>
      <c r="K544" s="29" t="n">
        <f aca="false">J544-('City Fiscal'!$B$13*E544)</f>
        <v>35634.0128298078</v>
      </c>
      <c r="L544" s="30" t="n">
        <f aca="false">'Mobility &amp; Emissions'!$B$21*B544*F544</f>
        <v>94.2800690433588</v>
      </c>
    </row>
    <row r="545" customFormat="false" ht="15" hidden="false" customHeight="true" outlineLevel="0" collapsed="false">
      <c r="A545" s="14" t="n">
        <v>541</v>
      </c>
      <c r="B545" s="47" t="n">
        <v>0.882960186480018</v>
      </c>
      <c r="C545" s="47" t="n">
        <v>1.03894446348336</v>
      </c>
      <c r="D545" s="47" t="n">
        <v>1.01288452180425</v>
      </c>
      <c r="E545" s="47" t="n">
        <v>0.944884346497069</v>
      </c>
      <c r="F545" s="47" t="n">
        <v>1.05016263224624</v>
      </c>
      <c r="G545" s="27" t="n">
        <f aca="false">'Visitor Economics'!$B$5*B545</f>
        <v>28431.3180046566</v>
      </c>
      <c r="H545" s="29" t="n">
        <f aca="false">MAX(0,'Visitor Economics'!$B$18*B545*C545*D545)</f>
        <v>672338.620148999</v>
      </c>
      <c r="I545" s="29" t="n">
        <f aca="false">H545*Controls!$B$52</f>
        <v>954720.840611579</v>
      </c>
      <c r="J545" s="29" t="n">
        <f aca="false">'City Fiscal'!$B$5+(H545*Controls!$B$56*Controls!$B$55)+('City Fiscal'!$B$9*B545*F545)</f>
        <v>147699.920423303</v>
      </c>
      <c r="K545" s="29" t="n">
        <f aca="false">J545-('City Fiscal'!$B$13*E545)</f>
        <v>43762.6423086257</v>
      </c>
      <c r="L545" s="30" t="n">
        <f aca="false">'Mobility &amp; Emissions'!$B$21*B545*F545</f>
        <v>86.5419862249692</v>
      </c>
    </row>
    <row r="546" customFormat="false" ht="15" hidden="false" customHeight="true" outlineLevel="0" collapsed="false">
      <c r="A546" s="14" t="n">
        <v>542</v>
      </c>
      <c r="B546" s="47" t="n">
        <v>0.817788887255382</v>
      </c>
      <c r="C546" s="47" t="n">
        <v>1.05925462980605</v>
      </c>
      <c r="D546" s="47" t="n">
        <v>0.925058264156166</v>
      </c>
      <c r="E546" s="47" t="n">
        <v>1.06554472086709</v>
      </c>
      <c r="F546" s="47" t="n">
        <v>0.993796731534482</v>
      </c>
      <c r="G546" s="27" t="n">
        <f aca="false">'Visitor Economics'!$B$5*B546</f>
        <v>26332.8021696233</v>
      </c>
      <c r="H546" s="29" t="n">
        <f aca="false">MAX(0,'Visitor Economics'!$B$18*B546*C546*D546)</f>
        <v>579836.20940613</v>
      </c>
      <c r="I546" s="29" t="n">
        <f aca="false">H546*Controls!$B$52</f>
        <v>823367.417356705</v>
      </c>
      <c r="J546" s="29" t="n">
        <f aca="false">'City Fiscal'!$B$5+(H546*Controls!$B$56*Controls!$B$55)+('City Fiscal'!$B$9*B546*F546)</f>
        <v>134952.973560842</v>
      </c>
      <c r="K546" s="29" t="n">
        <f aca="false">J546-('City Fiscal'!$B$13*E546)</f>
        <v>17743.0542654618</v>
      </c>
      <c r="L546" s="30" t="n">
        <f aca="false">'Mobility &amp; Emissions'!$B$21*B546*F546</f>
        <v>75.8521587330232</v>
      </c>
    </row>
    <row r="547" customFormat="false" ht="15" hidden="false" customHeight="true" outlineLevel="0" collapsed="false">
      <c r="A547" s="14" t="n">
        <v>543</v>
      </c>
      <c r="B547" s="47" t="n">
        <v>0.846217822374343</v>
      </c>
      <c r="C547" s="47" t="n">
        <v>0.872735187493741</v>
      </c>
      <c r="D547" s="47" t="n">
        <v>1.04764202511391</v>
      </c>
      <c r="E547" s="47" t="n">
        <v>0.990253634322443</v>
      </c>
      <c r="F547" s="47" t="n">
        <v>1.10525069832947</v>
      </c>
      <c r="G547" s="27" t="n">
        <f aca="false">'Visitor Economics'!$B$5*B547</f>
        <v>27248.2138804538</v>
      </c>
      <c r="H547" s="29" t="n">
        <f aca="false">MAX(0,'Visitor Economics'!$B$18*B547*C547*D547)</f>
        <v>559850.712559279</v>
      </c>
      <c r="I547" s="29" t="n">
        <f aca="false">H547*Controls!$B$52</f>
        <v>794988.011834176</v>
      </c>
      <c r="J547" s="29" t="n">
        <f aca="false">'City Fiscal'!$B$5+(H547*Controls!$B$56*Controls!$B$55)+('City Fiscal'!$B$9*B547*F547)</f>
        <v>147822.761430699</v>
      </c>
      <c r="K547" s="29" t="n">
        <f aca="false">J547-('City Fiscal'!$B$13*E547)</f>
        <v>38894.8616552307</v>
      </c>
      <c r="L547" s="30" t="n">
        <f aca="false">'Mobility &amp; Emissions'!$B$21*B547*F547</f>
        <v>87.2915373557175</v>
      </c>
    </row>
    <row r="548" customFormat="false" ht="15" hidden="false" customHeight="true" outlineLevel="0" collapsed="false">
      <c r="A548" s="14" t="n">
        <v>544</v>
      </c>
      <c r="B548" s="47" t="n">
        <v>0.90165853854128</v>
      </c>
      <c r="C548" s="47" t="n">
        <v>1.06717954941502</v>
      </c>
      <c r="D548" s="47" t="n">
        <v>1.21487522242063</v>
      </c>
      <c r="E548" s="47" t="n">
        <v>1.08557296451009</v>
      </c>
      <c r="F548" s="47" t="n">
        <v>0.932295200346071</v>
      </c>
      <c r="G548" s="27" t="n">
        <f aca="false">'Visitor Economics'!$B$5*B548</f>
        <v>29033.4049410292</v>
      </c>
      <c r="H548" s="29" t="n">
        <f aca="false">MAX(0,'Visitor Economics'!$B$18*B548*C548*D548)</f>
        <v>845874.510404172</v>
      </c>
      <c r="I548" s="29" t="n">
        <f aca="false">H548*Controls!$B$52</f>
        <v>1201141.80477392</v>
      </c>
      <c r="J548" s="29" t="n">
        <f aca="false">'City Fiscal'!$B$5+(H548*Controls!$B$56*Controls!$B$55)+('City Fiscal'!$B$9*B548*F548)</f>
        <v>139635.517128487</v>
      </c>
      <c r="K548" s="29" t="n">
        <f aca="false">J548-('City Fiscal'!$B$13*E548)</f>
        <v>20222.4910323767</v>
      </c>
      <c r="L548" s="30" t="n">
        <f aca="false">'Mobility &amp; Emissions'!$B$21*B548*F548</f>
        <v>78.4557402649395</v>
      </c>
    </row>
    <row r="549" customFormat="false" ht="15" hidden="false" customHeight="true" outlineLevel="0" collapsed="false">
      <c r="A549" s="14" t="n">
        <v>545</v>
      </c>
      <c r="B549" s="47" t="n">
        <v>0.851347039181735</v>
      </c>
      <c r="C549" s="47" t="n">
        <v>0.928374351209131</v>
      </c>
      <c r="D549" s="47" t="n">
        <v>1.11924737096333</v>
      </c>
      <c r="E549" s="47" t="n">
        <v>1.08655658471508</v>
      </c>
      <c r="F549" s="47" t="n">
        <v>1.00449226824667</v>
      </c>
      <c r="G549" s="27" t="n">
        <f aca="false">'Visitor Economics'!$B$5*B549</f>
        <v>27413.3746616519</v>
      </c>
      <c r="H549" s="29" t="n">
        <f aca="false">MAX(0,'Visitor Economics'!$B$18*B549*C549*D549)</f>
        <v>640103.962838123</v>
      </c>
      <c r="I549" s="29" t="n">
        <f aca="false">H549*Controls!$B$52</f>
        <v>908947.627230134</v>
      </c>
      <c r="J549" s="29" t="n">
        <f aca="false">'City Fiscal'!$B$5+(H549*Controls!$B$56*Controls!$B$55)+('City Fiscal'!$B$9*B549*F549)</f>
        <v>139846.295961891</v>
      </c>
      <c r="K549" s="29" t="n">
        <f aca="false">J549-('City Fiscal'!$B$13*E549)</f>
        <v>20325.0716432326</v>
      </c>
      <c r="L549" s="30" t="n">
        <f aca="false">'Mobility &amp; Emissions'!$B$21*B549*F549</f>
        <v>79.8146116087763</v>
      </c>
    </row>
    <row r="550" customFormat="false" ht="15" hidden="false" customHeight="true" outlineLevel="0" collapsed="false">
      <c r="A550" s="14" t="n">
        <v>546</v>
      </c>
      <c r="B550" s="47" t="n">
        <v>0.920621934009561</v>
      </c>
      <c r="C550" s="47" t="n">
        <v>1.06045170027616</v>
      </c>
      <c r="D550" s="47" t="n">
        <v>1.15834166704549</v>
      </c>
      <c r="E550" s="47" t="n">
        <v>1.07419826508251</v>
      </c>
      <c r="F550" s="47" t="n">
        <v>1.05789951140195</v>
      </c>
      <c r="G550" s="27" t="n">
        <f aca="false">'Visitor Economics'!$B$5*B550</f>
        <v>29644.0262751079</v>
      </c>
      <c r="H550" s="29" t="n">
        <f aca="false">MAX(0,'Visitor Economics'!$B$18*B550*C550*D550)</f>
        <v>818283.056934288</v>
      </c>
      <c r="I550" s="29" t="n">
        <f aca="false">H550*Controls!$B$52</f>
        <v>1161961.94084669</v>
      </c>
      <c r="J550" s="29" t="n">
        <f aca="false">'City Fiscal'!$B$5+(H550*Controls!$B$56*Controls!$B$55)+('City Fiscal'!$B$9*B550*F550)</f>
        <v>153595.794714228</v>
      </c>
      <c r="K550" s="29" t="n">
        <f aca="false">J550-('City Fiscal'!$B$13*E550)</f>
        <v>35433.985555152</v>
      </c>
      <c r="L550" s="30" t="n">
        <f aca="false">'Mobility &amp; Emissions'!$B$21*B550*F550</f>
        <v>90.8981220446586</v>
      </c>
    </row>
    <row r="551" customFormat="false" ht="15" hidden="false" customHeight="true" outlineLevel="0" collapsed="false">
      <c r="A551" s="14" t="n">
        <v>547</v>
      </c>
      <c r="B551" s="47" t="n">
        <v>0.815019994288977</v>
      </c>
      <c r="C551" s="47" t="n">
        <v>1.06198276118256</v>
      </c>
      <c r="D551" s="47" t="n">
        <v>0.984259393908824</v>
      </c>
      <c r="E551" s="47" t="n">
        <v>0.968652951534774</v>
      </c>
      <c r="F551" s="47" t="n">
        <v>1.06743184633286</v>
      </c>
      <c r="G551" s="27" t="n">
        <f aca="false">'Visitor Economics'!$B$5*B551</f>
        <v>26243.6438161051</v>
      </c>
      <c r="H551" s="29" t="n">
        <f aca="false">MAX(0,'Visitor Economics'!$B$18*B551*C551*D551)</f>
        <v>616438.802570265</v>
      </c>
      <c r="I551" s="29" t="n">
        <f aca="false">H551*Controls!$B$52</f>
        <v>875343.099649777</v>
      </c>
      <c r="J551" s="29" t="n">
        <f aca="false">'City Fiscal'!$B$5+(H551*Controls!$B$56*Controls!$B$55)+('City Fiscal'!$B$9*B551*F551)</f>
        <v>141263.334179642</v>
      </c>
      <c r="K551" s="29" t="n">
        <f aca="false">J551-('City Fiscal'!$B$13*E551)</f>
        <v>34711.5095108172</v>
      </c>
      <c r="L551" s="30" t="n">
        <f aca="false">'Mobility &amp; Emissions'!$B$21*B551*F551</f>
        <v>81.1965534503085</v>
      </c>
    </row>
    <row r="552" customFormat="false" ht="15" hidden="false" customHeight="true" outlineLevel="0" collapsed="false">
      <c r="A552" s="14" t="n">
        <v>548</v>
      </c>
      <c r="B552" s="47" t="n">
        <v>0.851582120672693</v>
      </c>
      <c r="C552" s="47" t="n">
        <v>0.902322536404073</v>
      </c>
      <c r="D552" s="47" t="n">
        <v>1.05868546840347</v>
      </c>
      <c r="E552" s="47" t="n">
        <v>0.947642861139979</v>
      </c>
      <c r="F552" s="47" t="n">
        <v>1.07133933638724</v>
      </c>
      <c r="G552" s="27" t="n">
        <f aca="false">'Visitor Economics'!$B$5*B552</f>
        <v>27420.9442856607</v>
      </c>
      <c r="H552" s="29" t="n">
        <f aca="false">MAX(0,'Visitor Economics'!$B$18*B552*C552*D552)</f>
        <v>588640.257723719</v>
      </c>
      <c r="I552" s="29" t="n">
        <f aca="false">H552*Controls!$B$52</f>
        <v>835869.165967681</v>
      </c>
      <c r="J552" s="29" t="n">
        <f aca="false">'City Fiscal'!$B$5+(H552*Controls!$B$56*Controls!$B$55)+('City Fiscal'!$B$9*B552*F552)</f>
        <v>145575.331407029</v>
      </c>
      <c r="K552" s="29" t="n">
        <f aca="false">J552-('City Fiscal'!$B$13*E552)</f>
        <v>41334.6166816309</v>
      </c>
      <c r="L552" s="30" t="n">
        <f aca="false">'Mobility &amp; Emissions'!$B$21*B552*F552</f>
        <v>85.1496294325414</v>
      </c>
    </row>
    <row r="553" customFormat="false" ht="15" hidden="false" customHeight="true" outlineLevel="0" collapsed="false">
      <c r="A553" s="14" t="n">
        <v>549</v>
      </c>
      <c r="B553" s="47" t="n">
        <v>0.931886436912357</v>
      </c>
      <c r="C553" s="47" t="n">
        <v>1.00655397759287</v>
      </c>
      <c r="D553" s="47" t="n">
        <v>1.05960895504252</v>
      </c>
      <c r="E553" s="47" t="n">
        <v>0.950343009018512</v>
      </c>
      <c r="F553" s="47" t="n">
        <v>0.910187207943217</v>
      </c>
      <c r="G553" s="27" t="n">
        <f aca="false">'Visitor Economics'!$B$5*B553</f>
        <v>30006.7432685779</v>
      </c>
      <c r="H553" s="29" t="n">
        <f aca="false">MAX(0,'Visitor Economics'!$B$18*B553*C553*D553)</f>
        <v>719184.551276103</v>
      </c>
      <c r="I553" s="29" t="n">
        <f aca="false">H553*Controls!$B$52</f>
        <v>1021242.06281207</v>
      </c>
      <c r="J553" s="29" t="n">
        <f aca="false">'City Fiscal'!$B$5+(H553*Controls!$B$56*Controls!$B$55)+('City Fiscal'!$B$9*B553*F553)</f>
        <v>139618.405218366</v>
      </c>
      <c r="K553" s="29" t="n">
        <f aca="false">J553-('City Fiscal'!$B$13*E553)</f>
        <v>35080.6742263298</v>
      </c>
      <c r="L553" s="30" t="n">
        <f aca="false">'Mobility &amp; Emissions'!$B$21*B553*F553</f>
        <v>79.1631186069653</v>
      </c>
    </row>
    <row r="554" customFormat="false" ht="15" hidden="false" customHeight="true" outlineLevel="0" collapsed="false">
      <c r="A554" s="14" t="n">
        <v>550</v>
      </c>
      <c r="B554" s="47" t="n">
        <v>0.989210391363319</v>
      </c>
      <c r="C554" s="47" t="n">
        <v>1.09350471740102</v>
      </c>
      <c r="D554" s="47" t="n">
        <v>0.892085235423761</v>
      </c>
      <c r="E554" s="47" t="n">
        <v>0.838662797217995</v>
      </c>
      <c r="F554" s="47" t="n">
        <v>1.09056516173152</v>
      </c>
      <c r="G554" s="27" t="n">
        <f aca="false">'Visitor Economics'!$B$5*B554</f>
        <v>31852.5746018989</v>
      </c>
      <c r="H554" s="29" t="n">
        <f aca="false">MAX(0,'Visitor Economics'!$B$18*B554*C554*D554)</f>
        <v>698249.047478371</v>
      </c>
      <c r="I554" s="29" t="n">
        <f aca="false">H554*Controls!$B$52</f>
        <v>991513.647419286</v>
      </c>
      <c r="J554" s="29" t="n">
        <f aca="false">'City Fiscal'!$B$5+(H554*Controls!$B$56*Controls!$B$55)+('City Fiscal'!$B$9*B554*F554)</f>
        <v>163940.662620124</v>
      </c>
      <c r="K554" s="29" t="n">
        <f aca="false">J554-('City Fiscal'!$B$13*E554)</f>
        <v>71687.7549261446</v>
      </c>
      <c r="L554" s="30" t="n">
        <f aca="false">'Mobility &amp; Emissions'!$B$21*B554*F554</f>
        <v>100.686087737369</v>
      </c>
    </row>
    <row r="555" customFormat="false" ht="15" hidden="false" customHeight="true" outlineLevel="0" collapsed="false">
      <c r="A555" s="14" t="n">
        <v>551</v>
      </c>
      <c r="B555" s="47" t="n">
        <v>0.922204294572819</v>
      </c>
      <c r="C555" s="47" t="n">
        <v>1.02334597783848</v>
      </c>
      <c r="D555" s="47" t="n">
        <v>0.952116530292706</v>
      </c>
      <c r="E555" s="47" t="n">
        <v>1.0898789520394</v>
      </c>
      <c r="F555" s="47" t="n">
        <v>0.998113132435986</v>
      </c>
      <c r="G555" s="27" t="n">
        <f aca="false">'Visitor Economics'!$B$5*B555</f>
        <v>29694.9782852448</v>
      </c>
      <c r="H555" s="29" t="n">
        <f aca="false">MAX(0,'Visitor Economics'!$B$18*B555*C555*D555)</f>
        <v>650181.191652769</v>
      </c>
      <c r="I555" s="29" t="n">
        <f aca="false">H555*Controls!$B$52</f>
        <v>923257.292146932</v>
      </c>
      <c r="J555" s="29" t="n">
        <f aca="false">'City Fiscal'!$B$5+(H555*Controls!$B$56*Controls!$B$55)+('City Fiscal'!$B$9*B555*F555)</f>
        <v>146836.458418082</v>
      </c>
      <c r="K555" s="29" t="n">
        <f aca="false">J555-('City Fiscal'!$B$13*E555)</f>
        <v>26949.7736937481</v>
      </c>
      <c r="L555" s="30" t="n">
        <f aca="false">'Mobility &amp; Emissions'!$B$21*B555*F555</f>
        <v>85.9084901806315</v>
      </c>
    </row>
    <row r="556" customFormat="false" ht="15" hidden="false" customHeight="true" outlineLevel="0" collapsed="false">
      <c r="A556" s="14" t="n">
        <v>552</v>
      </c>
      <c r="B556" s="47" t="n">
        <v>0.901243556529822</v>
      </c>
      <c r="C556" s="47" t="n">
        <v>0.878094750193111</v>
      </c>
      <c r="D556" s="47" t="n">
        <v>0.998447018748254</v>
      </c>
      <c r="E556" s="47" t="n">
        <v>1.00453360718828</v>
      </c>
      <c r="F556" s="47" t="n">
        <v>0.954247302123364</v>
      </c>
      <c r="G556" s="27" t="n">
        <f aca="false">'Visitor Economics'!$B$5*B556</f>
        <v>29020.0425202603</v>
      </c>
      <c r="H556" s="29" t="n">
        <f aca="false">MAX(0,'Visitor Economics'!$B$18*B556*C556*D556)</f>
        <v>571746.148268818</v>
      </c>
      <c r="I556" s="29" t="n">
        <f aca="false">H556*Controls!$B$52</f>
        <v>811879.530541722</v>
      </c>
      <c r="J556" s="29" t="n">
        <f aca="false">'City Fiscal'!$B$5+(H556*Controls!$B$56*Controls!$B$55)+('City Fiscal'!$B$9*B556*F556)</f>
        <v>139916.419214897</v>
      </c>
      <c r="K556" s="29" t="n">
        <f aca="false">J556-('City Fiscal'!$B$13*E556)</f>
        <v>29417.7224241859</v>
      </c>
      <c r="L556" s="30" t="n">
        <f aca="false">'Mobility &amp; Emissions'!$B$21*B556*F556</f>
        <v>80.266123673221</v>
      </c>
    </row>
    <row r="557" customFormat="false" ht="15" hidden="false" customHeight="true" outlineLevel="0" collapsed="false">
      <c r="A557" s="14" t="n">
        <v>553</v>
      </c>
      <c r="B557" s="47" t="n">
        <v>0.903304501134387</v>
      </c>
      <c r="C557" s="47" t="n">
        <v>1.00928414747652</v>
      </c>
      <c r="D557" s="47" t="n">
        <v>1.01164889343659</v>
      </c>
      <c r="E557" s="47" t="n">
        <v>1.00917589406374</v>
      </c>
      <c r="F557" s="47" t="n">
        <v>0.997961143547892</v>
      </c>
      <c r="G557" s="27" t="n">
        <f aca="false">'Visitor Economics'!$B$5*B557</f>
        <v>29086.4049365273</v>
      </c>
      <c r="H557" s="29" t="n">
        <f aca="false">MAX(0,'Visitor Economics'!$B$18*B557*C557*D557)</f>
        <v>667378.338937165</v>
      </c>
      <c r="I557" s="29" t="n">
        <f aca="false">H557*Controls!$B$52</f>
        <v>947677.241290774</v>
      </c>
      <c r="J557" s="29" t="n">
        <f aca="false">'City Fiscal'!$B$5+(H557*Controls!$B$56*Controls!$B$55)+('City Fiscal'!$B$9*B557*F557)</f>
        <v>144932.628625344</v>
      </c>
      <c r="K557" s="29" t="n">
        <f aca="false">J557-('City Fiscal'!$B$13*E557)</f>
        <v>33923.280278333</v>
      </c>
      <c r="L557" s="30" t="n">
        <f aca="false">'Mobility &amp; Emissions'!$B$21*B557*F557</f>
        <v>84.1350549503478</v>
      </c>
    </row>
    <row r="558" customFormat="false" ht="15" hidden="false" customHeight="true" outlineLevel="0" collapsed="false">
      <c r="A558" s="14" t="n">
        <v>554</v>
      </c>
      <c r="B558" s="47" t="n">
        <v>0.948250435541392</v>
      </c>
      <c r="C558" s="47" t="n">
        <v>0.962586815659794</v>
      </c>
      <c r="D558" s="47" t="n">
        <v>1.21839699381388</v>
      </c>
      <c r="E558" s="47" t="n">
        <v>0.945193849689192</v>
      </c>
      <c r="F558" s="47" t="n">
        <v>1.10475069061301</v>
      </c>
      <c r="G558" s="27" t="n">
        <f aca="false">'Visitor Economics'!$B$5*B558</f>
        <v>30533.6640244328</v>
      </c>
      <c r="H558" s="29" t="n">
        <f aca="false">MAX(0,'Visitor Economics'!$B$18*B558*C558*D558)</f>
        <v>804723.062918064</v>
      </c>
      <c r="I558" s="29" t="n">
        <f aca="false">H558*Controls!$B$52</f>
        <v>1142706.74934365</v>
      </c>
      <c r="J558" s="29" t="n">
        <f aca="false">'City Fiscal'!$B$5+(H558*Controls!$B$56*Controls!$B$55)+('City Fiscal'!$B$9*B558*F558)</f>
        <v>161319.665086792</v>
      </c>
      <c r="K558" s="29" t="n">
        <f aca="false">J558-('City Fiscal'!$B$13*E558)</f>
        <v>57348.3416209805</v>
      </c>
      <c r="L558" s="30" t="n">
        <f aca="false">'Mobility &amp; Emissions'!$B$21*B558*F558</f>
        <v>97.7724524823927</v>
      </c>
    </row>
    <row r="559" customFormat="false" ht="15" hidden="false" customHeight="true" outlineLevel="0" collapsed="false">
      <c r="A559" s="14" t="n">
        <v>555</v>
      </c>
      <c r="B559" s="47" t="n">
        <v>0.874982103577464</v>
      </c>
      <c r="C559" s="47" t="n">
        <v>1.03233016482279</v>
      </c>
      <c r="D559" s="47" t="n">
        <v>1.06115813493825</v>
      </c>
      <c r="E559" s="47" t="n">
        <v>0.867783888498112</v>
      </c>
      <c r="F559" s="47" t="n">
        <v>0.988861441732397</v>
      </c>
      <c r="G559" s="27" t="n">
        <f aca="false">'Visitor Economics'!$B$5*B559</f>
        <v>28174.4237351943</v>
      </c>
      <c r="H559" s="29" t="n">
        <f aca="false">MAX(0,'Visitor Economics'!$B$18*B559*C559*D559)</f>
        <v>693573.618146319</v>
      </c>
      <c r="I559" s="29" t="n">
        <f aca="false">H559*Controls!$B$52</f>
        <v>984874.537767774</v>
      </c>
      <c r="J559" s="29" t="n">
        <f aca="false">'City Fiscal'!$B$5+(H559*Controls!$B$56*Controls!$B$55)+('City Fiscal'!$B$9*B559*F559)</f>
        <v>141260.212494341</v>
      </c>
      <c r="K559" s="29" t="n">
        <f aca="false">J559-('City Fiscal'!$B$13*E559)</f>
        <v>45803.9847595489</v>
      </c>
      <c r="L559" s="30" t="n">
        <f aca="false">'Mobility &amp; Emissions'!$B$21*B559*F559</f>
        <v>80.7539527949027</v>
      </c>
    </row>
    <row r="560" customFormat="false" ht="15" hidden="false" customHeight="true" outlineLevel="0" collapsed="false">
      <c r="A560" s="14" t="n">
        <v>556</v>
      </c>
      <c r="B560" s="47" t="n">
        <v>0.846974622059404</v>
      </c>
      <c r="C560" s="47" t="n">
        <v>0.961636859609355</v>
      </c>
      <c r="D560" s="47" t="n">
        <v>1.20337650806728</v>
      </c>
      <c r="E560" s="47" t="n">
        <v>1.06789082944563</v>
      </c>
      <c r="F560" s="47" t="n">
        <v>1.00542303087974</v>
      </c>
      <c r="G560" s="27" t="n">
        <f aca="false">'Visitor Economics'!$B$5*B560</f>
        <v>27272.5828303128</v>
      </c>
      <c r="H560" s="29" t="n">
        <f aca="false">MAX(0,'Visitor Economics'!$B$18*B560*C560*D560)</f>
        <v>709214.649690526</v>
      </c>
      <c r="I560" s="29" t="n">
        <f aca="false">H560*Controls!$B$52</f>
        <v>1007084.80256055</v>
      </c>
      <c r="J560" s="29" t="n">
        <f aca="false">'City Fiscal'!$B$5+(H560*Controls!$B$56*Controls!$B$55)+('City Fiscal'!$B$9*B560*F560)</f>
        <v>139911.926446204</v>
      </c>
      <c r="K560" s="29" t="n">
        <f aca="false">J560-('City Fiscal'!$B$13*E560)</f>
        <v>22443.9352071852</v>
      </c>
      <c r="L560" s="30" t="n">
        <f aca="false">'Mobility &amp; Emissions'!$B$21*B560*F560</f>
        <v>79.4782696542647</v>
      </c>
    </row>
    <row r="561" customFormat="false" ht="15" hidden="false" customHeight="true" outlineLevel="0" collapsed="false">
      <c r="A561" s="14" t="n">
        <v>557</v>
      </c>
      <c r="B561" s="47" t="n">
        <v>0.887118625831365</v>
      </c>
      <c r="C561" s="47" t="n">
        <v>0.934197197864046</v>
      </c>
      <c r="D561" s="47" t="n">
        <v>0.975992601901194</v>
      </c>
      <c r="E561" s="47" t="n">
        <v>1.19662631734647</v>
      </c>
      <c r="F561" s="47" t="n">
        <v>1.03141458774369</v>
      </c>
      <c r="G561" s="27" t="n">
        <f aca="false">'Visitor Economics'!$B$5*B561</f>
        <v>28565.21975177</v>
      </c>
      <c r="H561" s="29" t="n">
        <f aca="false">MAX(0,'Visitor Economics'!$B$18*B561*C561*D561)</f>
        <v>585276.994031334</v>
      </c>
      <c r="I561" s="29" t="n">
        <f aca="false">H561*Controls!$B$52</f>
        <v>831093.331524495</v>
      </c>
      <c r="J561" s="29" t="n">
        <f aca="false">'City Fiscal'!$B$5+(H561*Controls!$B$56*Controls!$B$55)+('City Fiscal'!$B$9*B561*F561)</f>
        <v>145834.982137573</v>
      </c>
      <c r="K561" s="29" t="n">
        <f aca="false">J561-('City Fiscal'!$B$13*E561)</f>
        <v>14206.0872294614</v>
      </c>
      <c r="L561" s="30" t="n">
        <f aca="false">'Mobility &amp; Emissions'!$B$21*B561*F561</f>
        <v>85.3973007503001</v>
      </c>
    </row>
    <row r="562" customFormat="false" ht="15" hidden="false" customHeight="true" outlineLevel="0" collapsed="false">
      <c r="A562" s="14" t="n">
        <v>558</v>
      </c>
      <c r="B562" s="47" t="n">
        <v>0.951326861146443</v>
      </c>
      <c r="C562" s="47" t="n">
        <v>0.976834307471293</v>
      </c>
      <c r="D562" s="47" t="n">
        <v>0.923625554829216</v>
      </c>
      <c r="E562" s="47" t="n">
        <v>1.09638929073792</v>
      </c>
      <c r="F562" s="47" t="n">
        <v>1.06448684311757</v>
      </c>
      <c r="G562" s="27" t="n">
        <f aca="false">'Visitor Economics'!$B$5*B562</f>
        <v>30632.7249289155</v>
      </c>
      <c r="H562" s="29" t="n">
        <f aca="false">MAX(0,'Visitor Economics'!$B$18*B562*C562*D562)</f>
        <v>621071.03226018</v>
      </c>
      <c r="I562" s="29" t="n">
        <f aca="false">H562*Controls!$B$52</f>
        <v>881920.865809455</v>
      </c>
      <c r="J562" s="29" t="n">
        <f aca="false">'City Fiscal'!$B$5+(H562*Controls!$B$56*Controls!$B$55)+('City Fiscal'!$B$9*B562*F562)</f>
        <v>156427.577223659</v>
      </c>
      <c r="K562" s="29" t="n">
        <f aca="false">J562-('City Fiscal'!$B$13*E562)</f>
        <v>35824.7552424882</v>
      </c>
      <c r="L562" s="30" t="n">
        <f aca="false">'Mobility &amp; Emissions'!$B$21*B562*F562</f>
        <v>94.5146725024598</v>
      </c>
    </row>
    <row r="563" customFormat="false" ht="15" hidden="false" customHeight="true" outlineLevel="0" collapsed="false">
      <c r="A563" s="14" t="n">
        <v>559</v>
      </c>
      <c r="B563" s="47" t="n">
        <v>0.819099872122553</v>
      </c>
      <c r="C563" s="47" t="n">
        <v>1.09490019920398</v>
      </c>
      <c r="D563" s="47" t="n">
        <v>0.853678355030497</v>
      </c>
      <c r="E563" s="47" t="n">
        <v>1.18161688804975</v>
      </c>
      <c r="F563" s="47" t="n">
        <v>0.952286362727394</v>
      </c>
      <c r="G563" s="27" t="n">
        <f aca="false">'Visitor Economics'!$B$5*B563</f>
        <v>26375.0158823462</v>
      </c>
      <c r="H563" s="29" t="n">
        <f aca="false">MAX(0,'Visitor Economics'!$B$18*B563*C563*D563)</f>
        <v>553987.968112455</v>
      </c>
      <c r="I563" s="29" t="n">
        <f aca="false">H563*Controls!$B$52</f>
        <v>786662.914719687</v>
      </c>
      <c r="J563" s="29" t="n">
        <f aca="false">'City Fiscal'!$B$5+(H563*Controls!$B$56*Controls!$B$55)+('City Fiscal'!$B$9*B563*F563)</f>
        <v>131317.537690608</v>
      </c>
      <c r="K563" s="29" t="n">
        <f aca="false">J563-('City Fiscal'!$B$13*E563)</f>
        <v>1339.68000513516</v>
      </c>
      <c r="L563" s="30" t="n">
        <f aca="false">'Mobility &amp; Emissions'!$B$21*B563*F563</f>
        <v>72.8003721783703</v>
      </c>
    </row>
    <row r="564" customFormat="false" ht="15" hidden="false" customHeight="true" outlineLevel="0" collapsed="false">
      <c r="A564" s="14" t="n">
        <v>560</v>
      </c>
      <c r="B564" s="47" t="n">
        <v>0.877599180324427</v>
      </c>
      <c r="C564" s="47" t="n">
        <v>0.929612955438671</v>
      </c>
      <c r="D564" s="47" t="n">
        <v>0.986023542344073</v>
      </c>
      <c r="E564" s="47" t="n">
        <v>0.999115325977427</v>
      </c>
      <c r="F564" s="47" t="n">
        <v>1.06266444023194</v>
      </c>
      <c r="G564" s="27" t="n">
        <f aca="false">'Visitor Economics'!$B$5*B564</f>
        <v>28258.6936064465</v>
      </c>
      <c r="H564" s="29" t="n">
        <f aca="false">MAX(0,'Visitor Economics'!$B$18*B564*C564*D564)</f>
        <v>582076.854352174</v>
      </c>
      <c r="I564" s="29" t="n">
        <f aca="false">H564*Controls!$B$52</f>
        <v>826549.133180088</v>
      </c>
      <c r="J564" s="29" t="n">
        <f aca="false">'City Fiscal'!$B$5+(H564*Controls!$B$56*Controls!$B$55)+('City Fiscal'!$B$9*B564*F564)</f>
        <v>147681.552701894</v>
      </c>
      <c r="K564" s="29" t="n">
        <f aca="false">J564-('City Fiscal'!$B$13*E564)</f>
        <v>37778.8668443769</v>
      </c>
      <c r="L564" s="30" t="n">
        <f aca="false">'Mobility &amp; Emissions'!$B$21*B564*F564</f>
        <v>87.0405313234088</v>
      </c>
    </row>
    <row r="565" customFormat="false" ht="15" hidden="false" customHeight="true" outlineLevel="0" collapsed="false">
      <c r="A565" s="14" t="n">
        <v>561</v>
      </c>
      <c r="B565" s="47" t="n">
        <v>0.928676399545353</v>
      </c>
      <c r="C565" s="47" t="n">
        <v>1.00113032346305</v>
      </c>
      <c r="D565" s="47" t="n">
        <v>1.045907496463</v>
      </c>
      <c r="E565" s="47" t="n">
        <v>1.10355461768973</v>
      </c>
      <c r="F565" s="47" t="n">
        <v>1.00841080549703</v>
      </c>
      <c r="G565" s="27" t="n">
        <f aca="false">'Visitor Economics'!$B$5*B565</f>
        <v>29903.3800653604</v>
      </c>
      <c r="H565" s="29" t="n">
        <f aca="false">MAX(0,'Visitor Economics'!$B$18*B565*C565*D565)</f>
        <v>703627.768300502</v>
      </c>
      <c r="I565" s="29" t="n">
        <f aca="false">H565*Controls!$B$52</f>
        <v>999151.430986713</v>
      </c>
      <c r="J565" s="29" t="n">
        <f aca="false">'City Fiscal'!$B$5+(H565*Controls!$B$56*Controls!$B$55)+('City Fiscal'!$B$9*B565*F565)</f>
        <v>148882.18207624</v>
      </c>
      <c r="K565" s="29" t="n">
        <f aca="false">J565-('City Fiscal'!$B$13*E565)</f>
        <v>27491.1741303693</v>
      </c>
      <c r="L565" s="30" t="n">
        <f aca="false">'Mobility &amp; Emissions'!$B$21*B565*F565</f>
        <v>87.4039532411341</v>
      </c>
    </row>
    <row r="566" customFormat="false" ht="15" hidden="false" customHeight="true" outlineLevel="0" collapsed="false">
      <c r="A566" s="14" t="n">
        <v>562</v>
      </c>
      <c r="B566" s="47" t="n">
        <v>0.984843208337506</v>
      </c>
      <c r="C566" s="47" t="n">
        <v>1.10470294145922</v>
      </c>
      <c r="D566" s="47" t="n">
        <v>1.07404190839862</v>
      </c>
      <c r="E566" s="47" t="n">
        <v>1.01209508201805</v>
      </c>
      <c r="F566" s="47" t="n">
        <v>1.08513475506868</v>
      </c>
      <c r="G566" s="27" t="n">
        <f aca="false">'Visitor Economics'!$B$5*B566</f>
        <v>31711.9513084677</v>
      </c>
      <c r="H566" s="29" t="n">
        <f aca="false">MAX(0,'Visitor Economics'!$B$18*B566*C566*D566)</f>
        <v>845528.988648337</v>
      </c>
      <c r="I566" s="29" t="n">
        <f aca="false">H566*Controls!$B$52</f>
        <v>1200651.16388064</v>
      </c>
      <c r="J566" s="29" t="n">
        <f aca="false">'City Fiscal'!$B$5+(H566*Controls!$B$56*Controls!$B$55)+('City Fiscal'!$B$9*B566*F566)</f>
        <v>163822.698170568</v>
      </c>
      <c r="K566" s="29" t="n">
        <f aca="false">J566-('City Fiscal'!$B$13*E566)</f>
        <v>52492.2391485828</v>
      </c>
      <c r="L566" s="30" t="n">
        <f aca="false">'Mobility &amp; Emissions'!$B$21*B566*F566</f>
        <v>99.7424298852318</v>
      </c>
    </row>
    <row r="567" customFormat="false" ht="15" hidden="false" customHeight="true" outlineLevel="0" collapsed="false">
      <c r="A567" s="14" t="n">
        <v>563</v>
      </c>
      <c r="B567" s="47" t="n">
        <v>0.822</v>
      </c>
      <c r="C567" s="47" t="n">
        <v>0.944382474649767</v>
      </c>
      <c r="D567" s="47" t="n">
        <v>0.986524816910705</v>
      </c>
      <c r="E567" s="47" t="n">
        <v>1.00387757111551</v>
      </c>
      <c r="F567" s="47" t="n">
        <v>0.912749501990056</v>
      </c>
      <c r="G567" s="27" t="n">
        <f aca="false">'Visitor Economics'!$B$5*B567</f>
        <v>26468.4</v>
      </c>
      <c r="H567" s="29" t="n">
        <f aca="false">MAX(0,'Visitor Economics'!$B$18*B567*C567*D567)</f>
        <v>554143.726564313</v>
      </c>
      <c r="I567" s="29" t="n">
        <f aca="false">H567*Controls!$B$52</f>
        <v>786884.091721325</v>
      </c>
      <c r="J567" s="29" t="n">
        <f aca="false">'City Fiscal'!$B$5+(H567*Controls!$B$56*Controls!$B$55)+('City Fiscal'!$B$9*B567*F567)</f>
        <v>128164.619910859</v>
      </c>
      <c r="K567" s="29" t="n">
        <f aca="false">J567-('City Fiscal'!$B$13*E567)</f>
        <v>17738.0870881531</v>
      </c>
      <c r="L567" s="30" t="n">
        <f aca="false">'Mobility &amp; Emissions'!$B$21*B567*F567</f>
        <v>70.0249163351957</v>
      </c>
    </row>
    <row r="568" customFormat="false" ht="15" hidden="false" customHeight="true" outlineLevel="0" collapsed="false">
      <c r="A568" s="14" t="n">
        <v>564</v>
      </c>
      <c r="B568" s="47" t="n">
        <v>0.954547727312186</v>
      </c>
      <c r="C568" s="47" t="n">
        <v>1.04281191801839</v>
      </c>
      <c r="D568" s="47" t="n">
        <v>0.976782367096242</v>
      </c>
      <c r="E568" s="47" t="n">
        <v>0.98186383166106</v>
      </c>
      <c r="F568" s="47" t="n">
        <v>1.01491669237097</v>
      </c>
      <c r="G568" s="27" t="n">
        <f aca="false">'Visitor Economics'!$B$5*B568</f>
        <v>30736.4368194524</v>
      </c>
      <c r="H568" s="29" t="n">
        <f aca="false">MAX(0,'Visitor Economics'!$B$18*B568*C568*D568)</f>
        <v>703551.858488865</v>
      </c>
      <c r="I568" s="29" t="n">
        <f aca="false">H568*Controls!$B$52</f>
        <v>999043.639054188</v>
      </c>
      <c r="J568" s="29" t="n">
        <f aca="false">'City Fiscal'!$B$5+(H568*Controls!$B$56*Controls!$B$55)+('City Fiscal'!$B$9*B568*F568)</f>
        <v>152307.292989382</v>
      </c>
      <c r="K568" s="29" t="n">
        <f aca="false">J568-('City Fiscal'!$B$13*E568)</f>
        <v>44302.2715066649</v>
      </c>
      <c r="L568" s="30" t="n">
        <f aca="false">'Mobility &amp; Emissions'!$B$21*B568*F568</f>
        <v>90.4184837128089</v>
      </c>
    </row>
    <row r="569" customFormat="false" ht="15" hidden="false" customHeight="true" outlineLevel="0" collapsed="false">
      <c r="A569" s="14" t="n">
        <v>565</v>
      </c>
      <c r="B569" s="47" t="n">
        <v>0.947253866082107</v>
      </c>
      <c r="C569" s="47" t="n">
        <v>1.0337793528208</v>
      </c>
      <c r="D569" s="47" t="n">
        <v>0.94724144223248</v>
      </c>
      <c r="E569" s="47" t="n">
        <v>0.932493999839992</v>
      </c>
      <c r="F569" s="47" t="n">
        <v>0.933381652658124</v>
      </c>
      <c r="G569" s="27" t="n">
        <f aca="false">'Visitor Economics'!$B$5*B569</f>
        <v>30501.5744878438</v>
      </c>
      <c r="H569" s="29" t="n">
        <f aca="false">MAX(0,'Visitor Economics'!$B$18*B569*C569*D569)</f>
        <v>671196.37202299</v>
      </c>
      <c r="I569" s="29" t="n">
        <f aca="false">H569*Controls!$B$52</f>
        <v>953098.848272645</v>
      </c>
      <c r="J569" s="29" t="n">
        <f aca="false">'City Fiscal'!$B$5+(H569*Controls!$B$56*Controls!$B$55)+('City Fiscal'!$B$9*B569*F569)</f>
        <v>143121.13044184</v>
      </c>
      <c r="K569" s="29" t="n">
        <f aca="false">J569-('City Fiscal'!$B$13*E569)</f>
        <v>40546.7904594413</v>
      </c>
      <c r="L569" s="30" t="n">
        <f aca="false">'Mobility &amp; Emissions'!$B$21*B569*F569</f>
        <v>82.5191645969956</v>
      </c>
    </row>
    <row r="570" customFormat="false" ht="15" hidden="false" customHeight="true" outlineLevel="0" collapsed="false">
      <c r="A570" s="14" t="n">
        <v>566</v>
      </c>
      <c r="B570" s="47" t="n">
        <v>0.996762099922756</v>
      </c>
      <c r="C570" s="47" t="n">
        <v>0.894033776075518</v>
      </c>
      <c r="D570" s="47" t="n">
        <v>0.899237158637734</v>
      </c>
      <c r="E570" s="47" t="n">
        <v>1.12930927956135</v>
      </c>
      <c r="F570" s="47" t="n">
        <v>1.08342297693648</v>
      </c>
      <c r="G570" s="27" t="n">
        <f aca="false">'Visitor Economics'!$B$5*B570</f>
        <v>32095.7396175127</v>
      </c>
      <c r="H570" s="29" t="n">
        <f aca="false">MAX(0,'Visitor Economics'!$B$18*B570*C570*D570)</f>
        <v>579848.258453225</v>
      </c>
      <c r="I570" s="29" t="n">
        <f aca="false">H570*Controls!$B$52</f>
        <v>823384.527003579</v>
      </c>
      <c r="J570" s="29" t="n">
        <f aca="false">'City Fiscal'!$B$5+(H570*Controls!$B$56*Controls!$B$55)+('City Fiscal'!$B$9*B570*F570)</f>
        <v>163291.847647922</v>
      </c>
      <c r="K570" s="29" t="n">
        <f aca="false">J570-('City Fiscal'!$B$13*E570)</f>
        <v>39067.8268961737</v>
      </c>
      <c r="L570" s="30" t="n">
        <f aca="false">'Mobility &amp; Emissions'!$B$21*B570*F570</f>
        <v>100.790299221168</v>
      </c>
    </row>
    <row r="571" customFormat="false" ht="15" hidden="false" customHeight="true" outlineLevel="0" collapsed="false">
      <c r="A571" s="14" t="n">
        <v>567</v>
      </c>
      <c r="B571" s="47" t="n">
        <v>0.921959192169791</v>
      </c>
      <c r="C571" s="47" t="n">
        <v>1.03610721127534</v>
      </c>
      <c r="D571" s="47" t="n">
        <v>0.993661180376783</v>
      </c>
      <c r="E571" s="47" t="n">
        <v>0.937541056656812</v>
      </c>
      <c r="F571" s="47" t="n">
        <v>0.961344061359374</v>
      </c>
      <c r="G571" s="27" t="n">
        <f aca="false">'Visitor Economics'!$B$5*B571</f>
        <v>29687.0859878673</v>
      </c>
      <c r="H571" s="29" t="n">
        <f aca="false">MAX(0,'Visitor Economics'!$B$18*B571*C571*D571)</f>
        <v>686830.208268388</v>
      </c>
      <c r="I571" s="29" t="n">
        <f aca="false">H571*Controls!$B$52</f>
        <v>975298.89574111</v>
      </c>
      <c r="J571" s="29" t="n">
        <f aca="false">'City Fiscal'!$B$5+(H571*Controls!$B$56*Controls!$B$55)+('City Fiscal'!$B$9*B571*F571)</f>
        <v>143452.650435299</v>
      </c>
      <c r="K571" s="29" t="n">
        <f aca="false">J571-('City Fiscal'!$B$13*E571)</f>
        <v>40323.1342030497</v>
      </c>
      <c r="L571" s="30" t="n">
        <f aca="false">'Mobility &amp; Emissions'!$B$21*B571*F571</f>
        <v>82.7217518034335</v>
      </c>
    </row>
    <row r="572" customFormat="false" ht="15" hidden="false" customHeight="true" outlineLevel="0" collapsed="false">
      <c r="A572" s="14" t="n">
        <v>568</v>
      </c>
      <c r="B572" s="47" t="n">
        <v>0.863699462363865</v>
      </c>
      <c r="C572" s="47" t="n">
        <v>1.02465850850758</v>
      </c>
      <c r="D572" s="47" t="n">
        <v>0.886891066043894</v>
      </c>
      <c r="E572" s="47" t="n">
        <v>1.02486393003341</v>
      </c>
      <c r="F572" s="47" t="n">
        <v>0.952066155017224</v>
      </c>
      <c r="G572" s="27" t="n">
        <f aca="false">'Visitor Economics'!$B$5*B572</f>
        <v>27811.1226881165</v>
      </c>
      <c r="H572" s="29" t="n">
        <f aca="false">MAX(0,'Visitor Economics'!$B$18*B572*C572*D572)</f>
        <v>567945.613479706</v>
      </c>
      <c r="I572" s="29" t="n">
        <f aca="false">H572*Controls!$B$52</f>
        <v>806482.771141182</v>
      </c>
      <c r="J572" s="29" t="n">
        <f aca="false">'City Fiscal'!$B$5+(H572*Controls!$B$56*Controls!$B$55)+('City Fiscal'!$B$9*B572*F572)</f>
        <v>135892.294422799</v>
      </c>
      <c r="K572" s="29" t="n">
        <f aca="false">J572-('City Fiscal'!$B$13*E572)</f>
        <v>23157.2621191241</v>
      </c>
      <c r="L572" s="30" t="n">
        <f aca="false">'Mobility &amp; Emissions'!$B$21*B572*F572</f>
        <v>76.7465660257566</v>
      </c>
    </row>
    <row r="573" customFormat="false" ht="15" hidden="false" customHeight="true" outlineLevel="0" collapsed="false">
      <c r="A573" s="14" t="n">
        <v>569</v>
      </c>
      <c r="B573" s="47" t="n">
        <v>0.888675664249178</v>
      </c>
      <c r="C573" s="47" t="n">
        <v>0.972292481757965</v>
      </c>
      <c r="D573" s="47" t="n">
        <v>0.809646247654636</v>
      </c>
      <c r="E573" s="47" t="n">
        <v>1.13665870126031</v>
      </c>
      <c r="F573" s="47" t="n">
        <v>1.0111385582676</v>
      </c>
      <c r="G573" s="27" t="n">
        <f aca="false">'Visitor Economics'!$B$5*B573</f>
        <v>28615.3563888235</v>
      </c>
      <c r="H573" s="29" t="n">
        <f aca="false">MAX(0,'Visitor Economics'!$B$18*B573*C573*D573)</f>
        <v>506209.384401691</v>
      </c>
      <c r="I573" s="29" t="n">
        <f aca="false">H573*Controls!$B$52</f>
        <v>718817.325850401</v>
      </c>
      <c r="J573" s="29" t="n">
        <f aca="false">'City Fiscal'!$B$5+(H573*Controls!$B$56*Controls!$B$55)+('City Fiscal'!$B$9*B573*F573)</f>
        <v>143581.896418071</v>
      </c>
      <c r="K573" s="29" t="n">
        <f aca="false">J573-('City Fiscal'!$B$13*E573)</f>
        <v>18549.4392794365</v>
      </c>
      <c r="L573" s="30" t="n">
        <f aca="false">'Mobility &amp; Emissions'!$B$21*B573*F573</f>
        <v>83.8654604542899</v>
      </c>
    </row>
    <row r="574" customFormat="false" ht="15" hidden="false" customHeight="true" outlineLevel="0" collapsed="false">
      <c r="A574" s="14" t="n">
        <v>570</v>
      </c>
      <c r="B574" s="47" t="n">
        <v>0.865092890419823</v>
      </c>
      <c r="C574" s="47" t="n">
        <v>0.992884354410687</v>
      </c>
      <c r="D574" s="47" t="n">
        <v>1.01992664213343</v>
      </c>
      <c r="E574" s="47" t="n">
        <v>0.934201138348092</v>
      </c>
      <c r="F574" s="47" t="n">
        <v>0.996432578342389</v>
      </c>
      <c r="G574" s="27" t="n">
        <f aca="false">'Visitor Economics'!$B$5*B574</f>
        <v>27855.9910715183</v>
      </c>
      <c r="H574" s="29" t="n">
        <f aca="false">MAX(0,'Visitor Economics'!$B$18*B574*C574*D574)</f>
        <v>633906.224294945</v>
      </c>
      <c r="I574" s="29" t="n">
        <f aca="false">H574*Controls!$B$52</f>
        <v>900146.838498822</v>
      </c>
      <c r="J574" s="29" t="n">
        <f aca="false">'City Fiscal'!$B$5+(H574*Controls!$B$56*Controls!$B$55)+('City Fiscal'!$B$9*B574*F574)</f>
        <v>140531.069595875</v>
      </c>
      <c r="K574" s="29" t="n">
        <f aca="false">J574-('City Fiscal'!$B$13*E574)</f>
        <v>37768.944377585</v>
      </c>
      <c r="L574" s="30" t="n">
        <f aca="false">'Mobility &amp; Emissions'!$B$21*B574*F574</f>
        <v>80.4525543909506</v>
      </c>
    </row>
    <row r="575" customFormat="false" ht="15" hidden="false" customHeight="true" outlineLevel="0" collapsed="false">
      <c r="A575" s="14" t="n">
        <v>571</v>
      </c>
      <c r="B575" s="47" t="n">
        <v>0.878456081579555</v>
      </c>
      <c r="C575" s="47" t="n">
        <v>0.963153763485282</v>
      </c>
      <c r="D575" s="47" t="n">
        <v>1.08015816180929</v>
      </c>
      <c r="E575" s="47" t="n">
        <v>1.04908646138202</v>
      </c>
      <c r="F575" s="47" t="n">
        <v>0.992381529701012</v>
      </c>
      <c r="G575" s="27" t="n">
        <f aca="false">'Visitor Economics'!$B$5*B575</f>
        <v>28286.2858268617</v>
      </c>
      <c r="H575" s="29" t="n">
        <f aca="false">MAX(0,'Visitor Economics'!$B$18*B575*C575*D575)</f>
        <v>661298.748670299</v>
      </c>
      <c r="I575" s="29" t="n">
        <f aca="false">H575*Controls!$B$52</f>
        <v>939044.223111825</v>
      </c>
      <c r="J575" s="29" t="n">
        <f aca="false">'City Fiscal'!$B$5+(H575*Controls!$B$56*Controls!$B$55)+('City Fiscal'!$B$9*B575*F575)</f>
        <v>141743.372543683</v>
      </c>
      <c r="K575" s="29" t="n">
        <f aca="false">J575-('City Fiscal'!$B$13*E575)</f>
        <v>26343.8617916607</v>
      </c>
      <c r="L575" s="30" t="n">
        <f aca="false">'Mobility &amp; Emissions'!$B$21*B575*F575</f>
        <v>81.3631778540234</v>
      </c>
    </row>
    <row r="576" customFormat="false" ht="15" hidden="false" customHeight="true" outlineLevel="0" collapsed="false">
      <c r="A576" s="14" t="n">
        <v>572</v>
      </c>
      <c r="B576" s="47" t="n">
        <v>0.876734688710927</v>
      </c>
      <c r="C576" s="47" t="n">
        <v>1.09795459231495</v>
      </c>
      <c r="D576" s="47" t="n">
        <v>1.16094243434722</v>
      </c>
      <c r="E576" s="47" t="n">
        <v>1.03942044258761</v>
      </c>
      <c r="F576" s="47" t="n">
        <v>0.960124929057866</v>
      </c>
      <c r="G576" s="27" t="n">
        <f aca="false">'Visitor Economics'!$B$5*B576</f>
        <v>28230.8569764918</v>
      </c>
      <c r="H576" s="29" t="n">
        <f aca="false">MAX(0,'Visitor Economics'!$B$18*B576*C576*D576)</f>
        <v>808645.035927709</v>
      </c>
      <c r="I576" s="29" t="n">
        <f aca="false">H576*Controls!$B$52</f>
        <v>1148275.95101735</v>
      </c>
      <c r="J576" s="29" t="n">
        <f aca="false">'City Fiscal'!$B$5+(H576*Controls!$B$56*Controls!$B$55)+('City Fiscal'!$B$9*B576*F576)</f>
        <v>139517.606169043</v>
      </c>
      <c r="K576" s="29" t="n">
        <f aca="false">J576-('City Fiscal'!$B$13*E576)</f>
        <v>25181.3574844058</v>
      </c>
      <c r="L576" s="30" t="n">
        <f aca="false">'Mobility &amp; Emissions'!$B$21*B576*F576</f>
        <v>78.5642759758836</v>
      </c>
    </row>
    <row r="577" customFormat="false" ht="15" hidden="false" customHeight="true" outlineLevel="0" collapsed="false">
      <c r="A577" s="14" t="n">
        <v>573</v>
      </c>
      <c r="B577" s="47" t="n">
        <v>0.98659341382302</v>
      </c>
      <c r="C577" s="47" t="n">
        <v>0.966509385364897</v>
      </c>
      <c r="D577" s="47" t="n">
        <v>1.00919665699995</v>
      </c>
      <c r="E577" s="47" t="n">
        <v>0.862648563867966</v>
      </c>
      <c r="F577" s="47" t="n">
        <v>0.895249309386995</v>
      </c>
      <c r="G577" s="27" t="n">
        <f aca="false">'Visitor Economics'!$B$5*B577</f>
        <v>31768.3079251012</v>
      </c>
      <c r="H577" s="29" t="n">
        <f aca="false">MAX(0,'Visitor Economics'!$B$18*B577*C577*D577)</f>
        <v>696329.44534019</v>
      </c>
      <c r="I577" s="29" t="n">
        <f aca="false">H577*Controls!$B$52</f>
        <v>988787.81238307</v>
      </c>
      <c r="J577" s="29" t="n">
        <f aca="false">'City Fiscal'!$B$5+(H577*Controls!$B$56*Controls!$B$55)+('City Fiscal'!$B$9*B577*F577)</f>
        <v>143188.295242613</v>
      </c>
      <c r="K577" s="29" t="n">
        <f aca="false">J577-('City Fiscal'!$B$13*E577)</f>
        <v>48296.9532171365</v>
      </c>
      <c r="L577" s="30" t="n">
        <f aca="false">'Mobility &amp; Emissions'!$B$21*B577*F577</f>
        <v>82.4349507843913</v>
      </c>
    </row>
    <row r="578" customFormat="false" ht="15" hidden="false" customHeight="true" outlineLevel="0" collapsed="false">
      <c r="A578" s="14" t="n">
        <v>574</v>
      </c>
      <c r="B578" s="47" t="n">
        <v>0.954364643674312</v>
      </c>
      <c r="C578" s="47" t="n">
        <v>0.906481211832398</v>
      </c>
      <c r="D578" s="47" t="n">
        <v>0.952716241274525</v>
      </c>
      <c r="E578" s="47" t="n">
        <v>0.915365087951514</v>
      </c>
      <c r="F578" s="47" t="n">
        <v>1.08308587593041</v>
      </c>
      <c r="G578" s="27" t="n">
        <f aca="false">'Visitor Economics'!$B$5*B578</f>
        <v>30730.5415263128</v>
      </c>
      <c r="H578" s="29" t="n">
        <f aca="false">MAX(0,'Visitor Economics'!$B$18*B578*C578*D578)</f>
        <v>596391.420499171</v>
      </c>
      <c r="I578" s="29" t="n">
        <f aca="false">H578*Controls!$B$52</f>
        <v>846875.817108823</v>
      </c>
      <c r="J578" s="29" t="n">
        <f aca="false">'City Fiscal'!$B$5+(H578*Controls!$B$56*Controls!$B$55)+('City Fiscal'!$B$9*B578*F578)</f>
        <v>158493.183664622</v>
      </c>
      <c r="K578" s="29" t="n">
        <f aca="false">J578-('City Fiscal'!$B$13*E578)</f>
        <v>57803.0239899552</v>
      </c>
      <c r="L578" s="30" t="n">
        <f aca="false">'Mobility &amp; Emissions'!$B$21*B578*F578</f>
        <v>96.4731391886127</v>
      </c>
    </row>
    <row r="579" customFormat="false" ht="15" hidden="false" customHeight="true" outlineLevel="0" collapsed="false">
      <c r="A579" s="14" t="n">
        <v>575</v>
      </c>
      <c r="B579" s="47" t="n">
        <v>0.840656409389281</v>
      </c>
      <c r="C579" s="47" t="n">
        <v>0.992415196546012</v>
      </c>
      <c r="D579" s="47" t="n">
        <v>1.03334070525362</v>
      </c>
      <c r="E579" s="47" t="n">
        <v>1.04801918407928</v>
      </c>
      <c r="F579" s="47" t="n">
        <v>1.06880578838365</v>
      </c>
      <c r="G579" s="27" t="n">
        <f aca="false">'Visitor Economics'!$B$5*B579</f>
        <v>27069.1363823348</v>
      </c>
      <c r="H579" s="29" t="n">
        <f aca="false">MAX(0,'Visitor Economics'!$B$18*B579*C579*D579)</f>
        <v>623806.852768335</v>
      </c>
      <c r="I579" s="29" t="n">
        <f aca="false">H579*Controls!$B$52</f>
        <v>885805.730931035</v>
      </c>
      <c r="J579" s="29" t="n">
        <f aca="false">'City Fiscal'!$B$5+(H579*Controls!$B$56*Controls!$B$55)+('City Fiscal'!$B$9*B579*F579)</f>
        <v>144335.889447168</v>
      </c>
      <c r="K579" s="29" t="n">
        <f aca="false">J579-('City Fiscal'!$B$13*E579)</f>
        <v>29053.7791984467</v>
      </c>
      <c r="L579" s="30" t="n">
        <f aca="false">'Mobility &amp; Emissions'!$B$21*B579*F579</f>
        <v>83.8583865162813</v>
      </c>
    </row>
    <row r="580" customFormat="false" ht="15" hidden="false" customHeight="true" outlineLevel="0" collapsed="false">
      <c r="A580" s="14" t="n">
        <v>576</v>
      </c>
      <c r="B580" s="47" t="n">
        <v>0.843099920760648</v>
      </c>
      <c r="C580" s="47" t="n">
        <v>1.04422401435811</v>
      </c>
      <c r="D580" s="47" t="n">
        <v>0.85154229518264</v>
      </c>
      <c r="E580" s="47" t="n">
        <v>1.06467258702502</v>
      </c>
      <c r="F580" s="47" t="n">
        <v>0.980508620404937</v>
      </c>
      <c r="G580" s="27" t="n">
        <f aca="false">'Visitor Economics'!$B$5*B580</f>
        <v>27147.8174484929</v>
      </c>
      <c r="H580" s="29" t="n">
        <f aca="false">MAX(0,'Visitor Economics'!$B$18*B580*C580*D580)</f>
        <v>542467.367999708</v>
      </c>
      <c r="I580" s="29" t="n">
        <f aca="false">H580*Controls!$B$52</f>
        <v>770303.662559585</v>
      </c>
      <c r="J580" s="29" t="n">
        <f aca="false">'City Fiscal'!$B$5+(H580*Controls!$B$56*Controls!$B$55)+('City Fiscal'!$B$9*B580*F580)</f>
        <v>136190.429673488</v>
      </c>
      <c r="K580" s="29" t="n">
        <f aca="false">J580-('City Fiscal'!$B$13*E580)</f>
        <v>19076.4451007355</v>
      </c>
      <c r="L580" s="30" t="n">
        <f aca="false">'Mobility &amp; Emissions'!$B$21*B580*F580</f>
        <v>77.1542121933876</v>
      </c>
    </row>
    <row r="581" customFormat="false" ht="15" hidden="false" customHeight="true" outlineLevel="0" collapsed="false">
      <c r="A581" s="14" t="n">
        <v>577</v>
      </c>
      <c r="B581" s="47" t="n">
        <v>0.98253001200961</v>
      </c>
      <c r="C581" s="47" t="n">
        <v>1.02371916078471</v>
      </c>
      <c r="D581" s="47" t="n">
        <v>1.10356315354393</v>
      </c>
      <c r="E581" s="47" t="n">
        <v>0.892814146977081</v>
      </c>
      <c r="F581" s="47" t="n">
        <v>0.982561306571714</v>
      </c>
      <c r="G581" s="27" t="n">
        <f aca="false">'Visitor Economics'!$B$5*B581</f>
        <v>31637.4663867094</v>
      </c>
      <c r="H581" s="29" t="n">
        <f aca="false">MAX(0,'Visitor Economics'!$B$18*B581*C581*D581)</f>
        <v>803190.416933777</v>
      </c>
      <c r="I581" s="29" t="n">
        <f aca="false">H581*Controls!$B$52</f>
        <v>1140530.39204596</v>
      </c>
      <c r="J581" s="29" t="n">
        <f aca="false">'City Fiscal'!$B$5+(H581*Controls!$B$56*Controls!$B$55)+('City Fiscal'!$B$9*B581*F581)</f>
        <v>152593.363983791</v>
      </c>
      <c r="K581" s="29" t="n">
        <f aca="false">J581-('City Fiscal'!$B$13*E581)</f>
        <v>54383.8078163122</v>
      </c>
      <c r="L581" s="30" t="n">
        <f aca="false">'Mobility &amp; Emissions'!$B$21*B581*F581</f>
        <v>90.1020472722131</v>
      </c>
    </row>
    <row r="582" customFormat="false" ht="15" hidden="false" customHeight="true" outlineLevel="0" collapsed="false">
      <c r="A582" s="14" t="n">
        <v>578</v>
      </c>
      <c r="B582" s="47" t="n">
        <v>0.847970581871866</v>
      </c>
      <c r="C582" s="47" t="n">
        <v>1.05305225918674</v>
      </c>
      <c r="D582" s="47" t="n">
        <v>1.22031414478241</v>
      </c>
      <c r="E582" s="47" t="n">
        <v>1.06236671404039</v>
      </c>
      <c r="F582" s="47" t="n">
        <v>0.980680909087747</v>
      </c>
      <c r="G582" s="27" t="n">
        <f aca="false">'Visitor Economics'!$B$5*B582</f>
        <v>27304.6527362741</v>
      </c>
      <c r="H582" s="29" t="n">
        <f aca="false">MAX(0,'Visitor Economics'!$B$18*B582*C582*D582)</f>
        <v>788491.516065578</v>
      </c>
      <c r="I582" s="29" t="n">
        <f aca="false">H582*Controls!$B$52</f>
        <v>1119657.95281312</v>
      </c>
      <c r="J582" s="29" t="n">
        <f aca="false">'City Fiscal'!$B$5+(H582*Controls!$B$56*Controls!$B$55)+('City Fiscal'!$B$9*B582*F582)</f>
        <v>138306.668329705</v>
      </c>
      <c r="K582" s="29" t="n">
        <f aca="false">J582-('City Fiscal'!$B$13*E582)</f>
        <v>21446.3297852626</v>
      </c>
      <c r="L582" s="30" t="n">
        <f aca="false">'Mobility &amp; Emissions'!$B$21*B582*F582</f>
        <v>77.6135741089285</v>
      </c>
    </row>
    <row r="583" customFormat="false" ht="15" hidden="false" customHeight="true" outlineLevel="0" collapsed="false">
      <c r="A583" s="14" t="n">
        <v>579</v>
      </c>
      <c r="B583" s="47" t="n">
        <v>0.83981972918695</v>
      </c>
      <c r="C583" s="47" t="n">
        <v>0.985054536441747</v>
      </c>
      <c r="D583" s="47" t="n">
        <v>1.1533498577342</v>
      </c>
      <c r="E583" s="47" t="n">
        <v>1.00984640331654</v>
      </c>
      <c r="F583" s="47" t="n">
        <v>0.942344463829728</v>
      </c>
      <c r="G583" s="27" t="n">
        <f aca="false">'Visitor Economics'!$B$5*B583</f>
        <v>27042.1952798198</v>
      </c>
      <c r="H583" s="29" t="n">
        <f aca="false">MAX(0,'Visitor Economics'!$B$18*B583*C583*D583)</f>
        <v>690402.069131935</v>
      </c>
      <c r="I583" s="29" t="n">
        <f aca="false">H583*Controls!$B$52</f>
        <v>980370.938167348</v>
      </c>
      <c r="J583" s="29" t="n">
        <f aca="false">'City Fiscal'!$B$5+(H583*Controls!$B$56*Controls!$B$55)+('City Fiscal'!$B$9*B583*F583)</f>
        <v>133408.644202896</v>
      </c>
      <c r="K583" s="29" t="n">
        <f aca="false">J583-('City Fiscal'!$B$13*E583)</f>
        <v>22325.5398380761</v>
      </c>
      <c r="L583" s="30" t="n">
        <f aca="false">'Mobility &amp; Emissions'!$B$21*B583*F583</f>
        <v>73.8626581395301</v>
      </c>
    </row>
    <row r="584" customFormat="false" ht="15" hidden="false" customHeight="true" outlineLevel="0" collapsed="false">
      <c r="A584" s="14" t="n">
        <v>580</v>
      </c>
      <c r="B584" s="47" t="n">
        <v>0.881481032710551</v>
      </c>
      <c r="C584" s="47" t="n">
        <v>1.07652586976143</v>
      </c>
      <c r="D584" s="47" t="n">
        <v>1.13605374073714</v>
      </c>
      <c r="E584" s="47" t="n">
        <v>1.0564444524174</v>
      </c>
      <c r="F584" s="47" t="n">
        <v>0.983575821165359</v>
      </c>
      <c r="G584" s="27" t="n">
        <f aca="false">'Visitor Economics'!$B$5*B584</f>
        <v>28383.6892532797</v>
      </c>
      <c r="H584" s="29" t="n">
        <f aca="false">MAX(0,'Visitor Economics'!$B$18*B584*C584*D584)</f>
        <v>780065.351590971</v>
      </c>
      <c r="I584" s="29" t="n">
        <f aca="false">H584*Controls!$B$52</f>
        <v>1107692.79925918</v>
      </c>
      <c r="J584" s="29" t="n">
        <f aca="false">'City Fiscal'!$B$5+(H584*Controls!$B$56*Controls!$B$55)+('City Fiscal'!$B$9*B584*F584)</f>
        <v>142008.123572393</v>
      </c>
      <c r="K584" s="29" t="n">
        <f aca="false">J584-('City Fiscal'!$B$13*E584)</f>
        <v>25799.2338064794</v>
      </c>
      <c r="L584" s="30" t="n">
        <f aca="false">'Mobility &amp; Emissions'!$B$21*B584*F584</f>
        <v>80.9189040827938</v>
      </c>
    </row>
    <row r="585" customFormat="false" ht="15" hidden="false" customHeight="true" outlineLevel="0" collapsed="false">
      <c r="A585" s="14" t="n">
        <v>581</v>
      </c>
      <c r="B585" s="47" t="n">
        <v>0.99430953484267</v>
      </c>
      <c r="C585" s="47" t="n">
        <v>0.865596052460712</v>
      </c>
      <c r="D585" s="47" t="n">
        <v>1.01189550613229</v>
      </c>
      <c r="E585" s="47" t="n">
        <v>0.907757050998766</v>
      </c>
      <c r="F585" s="47" t="n">
        <v>1.06240719207606</v>
      </c>
      <c r="G585" s="27" t="n">
        <f aca="false">'Visitor Economics'!$B$5*B585</f>
        <v>32016.767021934</v>
      </c>
      <c r="H585" s="29" t="n">
        <f aca="false">MAX(0,'Visitor Economics'!$B$18*B585*C585*D585)</f>
        <v>630183.76130047</v>
      </c>
      <c r="I585" s="29" t="n">
        <f aca="false">H585*Controls!$B$52</f>
        <v>894860.941046667</v>
      </c>
      <c r="J585" s="29" t="n">
        <f aca="false">'City Fiscal'!$B$5+(H585*Controls!$B$56*Controls!$B$55)+('City Fiscal'!$B$9*B585*F585)</f>
        <v>161119.981719749</v>
      </c>
      <c r="K585" s="29" t="n">
        <f aca="false">J585-('City Fiscal'!$B$13*E585)</f>
        <v>61266.706109885</v>
      </c>
      <c r="L585" s="30" t="n">
        <f aca="false">'Mobility &amp; Emissions'!$B$21*B585*F585</f>
        <v>98.5920240329395</v>
      </c>
    </row>
    <row r="586" customFormat="false" ht="15" hidden="false" customHeight="true" outlineLevel="0" collapsed="false">
      <c r="A586" s="14" t="n">
        <v>582</v>
      </c>
      <c r="B586" s="47" t="n">
        <v>0.796899704139422</v>
      </c>
      <c r="C586" s="47" t="n">
        <v>0.87010987926547</v>
      </c>
      <c r="D586" s="47" t="n">
        <v>0.98400612735896</v>
      </c>
      <c r="E586" s="47" t="n">
        <v>1.12886474501616</v>
      </c>
      <c r="F586" s="47" t="n">
        <v>1.09367504993344</v>
      </c>
      <c r="G586" s="27" t="n">
        <f aca="false">'Visitor Economics'!$B$5*B586</f>
        <v>25660.1704732894</v>
      </c>
      <c r="H586" s="29" t="n">
        <f aca="false">MAX(0,'Visitor Economics'!$B$18*B586*C586*D586)</f>
        <v>493708.083056292</v>
      </c>
      <c r="I586" s="29" t="n">
        <f aca="false">H586*Controls!$B$52</f>
        <v>701065.477939935</v>
      </c>
      <c r="J586" s="29" t="n">
        <f aca="false">'City Fiscal'!$B$5+(H586*Controls!$B$56*Controls!$B$55)+('City Fiscal'!$B$9*B586*F586)</f>
        <v>140634.660214936</v>
      </c>
      <c r="K586" s="29" t="n">
        <f aca="false">J586-('City Fiscal'!$B$13*E586)</f>
        <v>16459.5382631579</v>
      </c>
      <c r="L586" s="30" t="n">
        <f aca="false">'Mobility &amp; Emissions'!$B$21*B586*F586</f>
        <v>81.343180016323</v>
      </c>
    </row>
    <row r="587" customFormat="false" ht="15" hidden="false" customHeight="true" outlineLevel="0" collapsed="false">
      <c r="A587" s="14" t="n">
        <v>583</v>
      </c>
      <c r="B587" s="47" t="n">
        <v>0.954731324511677</v>
      </c>
      <c r="C587" s="47" t="n">
        <v>0.908028404506727</v>
      </c>
      <c r="D587" s="47" t="n">
        <v>0.877798261743244</v>
      </c>
      <c r="E587" s="47" t="n">
        <v>1.05839819938216</v>
      </c>
      <c r="F587" s="47" t="n">
        <v>1.018119372158</v>
      </c>
      <c r="G587" s="27" t="n">
        <f aca="false">'Visitor Economics'!$B$5*B587</f>
        <v>30742.348649276</v>
      </c>
      <c r="H587" s="29" t="n">
        <f aca="false">MAX(0,'Visitor Economics'!$B$18*B587*C587*D587)</f>
        <v>550642.834442892</v>
      </c>
      <c r="I587" s="29" t="n">
        <f aca="false">H587*Controls!$B$52</f>
        <v>781912.824908907</v>
      </c>
      <c r="J587" s="29" t="n">
        <f aca="false">'City Fiscal'!$B$5+(H587*Controls!$B$56*Controls!$B$55)+('City Fiscal'!$B$9*B587*F587)</f>
        <v>151660.500765809</v>
      </c>
      <c r="K587" s="29" t="n">
        <f aca="false">J587-('City Fiscal'!$B$13*E587)</f>
        <v>35236.6988337718</v>
      </c>
      <c r="L587" s="30" t="n">
        <f aca="false">'Mobility &amp; Emissions'!$B$21*B587*F587</f>
        <v>90.7212549747851</v>
      </c>
    </row>
    <row r="588" customFormat="false" ht="15" hidden="false" customHeight="true" outlineLevel="0" collapsed="false">
      <c r="A588" s="14" t="n">
        <v>584</v>
      </c>
      <c r="B588" s="47" t="n">
        <v>0.881976467873721</v>
      </c>
      <c r="C588" s="47" t="n">
        <v>0.900330567033975</v>
      </c>
      <c r="D588" s="47" t="n">
        <v>0.829294015863997</v>
      </c>
      <c r="E588" s="47" t="n">
        <v>1.06730147783849</v>
      </c>
      <c r="F588" s="47" t="n">
        <v>1.00007501875938</v>
      </c>
      <c r="G588" s="27" t="n">
        <f aca="false">'Visitor Economics'!$B$5*B588</f>
        <v>28399.6422655338</v>
      </c>
      <c r="H588" s="29" t="n">
        <f aca="false">MAX(0,'Visitor Economics'!$B$18*B588*C588*D588)</f>
        <v>476499.219955315</v>
      </c>
      <c r="I588" s="29" t="n">
        <f aca="false">H588*Controls!$B$52</f>
        <v>676628.892336548</v>
      </c>
      <c r="J588" s="29" t="n">
        <f aca="false">'City Fiscal'!$B$5+(H588*Controls!$B$56*Controls!$B$55)+('City Fiscal'!$B$9*B588*F588)</f>
        <v>141636.054011318</v>
      </c>
      <c r="K588" s="29" t="n">
        <f aca="false">J588-('City Fiscal'!$B$13*E588)</f>
        <v>24232.8914490842</v>
      </c>
      <c r="L588" s="30" t="n">
        <f aca="false">'Mobility &amp; Emissions'!$B$21*B588*F588</f>
        <v>82.3225383780867</v>
      </c>
    </row>
    <row r="589" customFormat="false" ht="15" hidden="false" customHeight="true" outlineLevel="0" collapsed="false">
      <c r="A589" s="14" t="n">
        <v>585</v>
      </c>
      <c r="B589" s="47" t="n">
        <v>0.916742093007238</v>
      </c>
      <c r="C589" s="47" t="n">
        <v>1.05955167496117</v>
      </c>
      <c r="D589" s="47" t="n">
        <v>1.19315591499549</v>
      </c>
      <c r="E589" s="47" t="n">
        <v>1.07759422863489</v>
      </c>
      <c r="F589" s="47" t="n">
        <v>0.997351620282914</v>
      </c>
      <c r="G589" s="27" t="n">
        <f aca="false">'Visitor Economics'!$B$5*B589</f>
        <v>29519.0953948331</v>
      </c>
      <c r="H589" s="29" t="n">
        <f aca="false">MAX(0,'Visitor Economics'!$B$18*B589*C589*D589)</f>
        <v>838612.213812639</v>
      </c>
      <c r="I589" s="29" t="n">
        <f aca="false">H589*Controls!$B$52</f>
        <v>1190829.34361395</v>
      </c>
      <c r="J589" s="29" t="n">
        <f aca="false">'City Fiscal'!$B$5+(H589*Controls!$B$56*Controls!$B$55)+('City Fiscal'!$B$9*B589*F589)</f>
        <v>147405.229560737</v>
      </c>
      <c r="K589" s="29" t="n">
        <f aca="false">J589-('City Fiscal'!$B$13*E589)</f>
        <v>28869.8644108995</v>
      </c>
      <c r="L589" s="30" t="n">
        <f aca="false">'Mobility &amp; Emissions'!$B$21*B589*F589</f>
        <v>85.3344997254038</v>
      </c>
    </row>
    <row r="590" customFormat="false" ht="15" hidden="false" customHeight="true" outlineLevel="0" collapsed="false">
      <c r="A590" s="14" t="n">
        <v>586</v>
      </c>
      <c r="B590" s="47" t="n">
        <v>0.941539819016268</v>
      </c>
      <c r="C590" s="47" t="n">
        <v>1.02811964301332</v>
      </c>
      <c r="D590" s="47" t="n">
        <v>0.960617551749546</v>
      </c>
      <c r="E590" s="47" t="n">
        <v>0.947945691603899</v>
      </c>
      <c r="F590" s="47" t="n">
        <v>0.985416025639508</v>
      </c>
      <c r="G590" s="27" t="n">
        <f aca="false">'Visitor Economics'!$B$5*B590</f>
        <v>30317.5821723238</v>
      </c>
      <c r="H590" s="29" t="n">
        <f aca="false">MAX(0,'Visitor Economics'!$B$18*B590*C590*D590)</f>
        <v>672864.375653182</v>
      </c>
      <c r="I590" s="29" t="n">
        <f aca="false">H590*Controls!$B$52</f>
        <v>955467.413427518</v>
      </c>
      <c r="J590" s="29" t="n">
        <f aca="false">'City Fiscal'!$B$5+(H590*Controls!$B$56*Controls!$B$55)+('City Fiscal'!$B$9*B590*F590)</f>
        <v>147762.363101539</v>
      </c>
      <c r="K590" s="29" t="n">
        <f aca="false">J590-('City Fiscal'!$B$13*E590)</f>
        <v>43488.3370251103</v>
      </c>
      <c r="L590" s="30" t="n">
        <f aca="false">'Mobility &amp; Emissions'!$B$21*B590*F590</f>
        <v>86.5939377136297</v>
      </c>
    </row>
    <row r="591" customFormat="false" ht="15" hidden="false" customHeight="true" outlineLevel="0" collapsed="false">
      <c r="A591" s="14" t="n">
        <v>587</v>
      </c>
      <c r="B591" s="47" t="n">
        <v>0.926341044208255</v>
      </c>
      <c r="C591" s="47" t="n">
        <v>0.980240444332884</v>
      </c>
      <c r="D591" s="47" t="n">
        <v>1.03037816593062</v>
      </c>
      <c r="E591" s="47" t="n">
        <v>1.16294398355082</v>
      </c>
      <c r="F591" s="47" t="n">
        <v>1.10232925425379</v>
      </c>
      <c r="G591" s="27" t="n">
        <f aca="false">'Visitor Economics'!$B$5*B591</f>
        <v>29828.1816235058</v>
      </c>
      <c r="H591" s="29" t="n">
        <f aca="false">MAX(0,'Visitor Economics'!$B$18*B591*C591*D591)</f>
        <v>677009.622311741</v>
      </c>
      <c r="I591" s="29" t="n">
        <f aca="false">H591*Controls!$B$52</f>
        <v>961353.663682672</v>
      </c>
      <c r="J591" s="29" t="n">
        <f aca="false">'City Fiscal'!$B$5+(H591*Controls!$B$56*Controls!$B$55)+('City Fiscal'!$B$9*B591*F591)</f>
        <v>157687.094145843</v>
      </c>
      <c r="K591" s="29" t="n">
        <f aca="false">J591-('City Fiscal'!$B$13*E591)</f>
        <v>29763.255955253</v>
      </c>
      <c r="L591" s="30" t="n">
        <f aca="false">'Mobility &amp; Emissions'!$B$21*B591*F591</f>
        <v>95.3040631780715</v>
      </c>
    </row>
    <row r="592" customFormat="false" ht="15" hidden="false" customHeight="true" outlineLevel="0" collapsed="false">
      <c r="A592" s="14" t="n">
        <v>588</v>
      </c>
      <c r="B592" s="47" t="n">
        <v>0.878966661053104</v>
      </c>
      <c r="C592" s="47" t="n">
        <v>0.879016946718718</v>
      </c>
      <c r="D592" s="47" t="n">
        <v>1.06652316222477</v>
      </c>
      <c r="E592" s="47" t="n">
        <v>0.984942717329381</v>
      </c>
      <c r="F592" s="47" t="n">
        <v>0.923023968667829</v>
      </c>
      <c r="G592" s="27" t="n">
        <f aca="false">'Visitor Economics'!$B$5*B592</f>
        <v>28302.72648591</v>
      </c>
      <c r="H592" s="29" t="n">
        <f aca="false">MAX(0,'Visitor Economics'!$B$18*B592*C592*D592)</f>
        <v>596258.539485904</v>
      </c>
      <c r="I592" s="29" t="n">
        <f aca="false">H592*Controls!$B$52</f>
        <v>846687.126069984</v>
      </c>
      <c r="J592" s="29" t="n">
        <f aca="false">'City Fiscal'!$B$5+(H592*Controls!$B$56*Controls!$B$55)+('City Fiscal'!$B$9*B592*F592)</f>
        <v>134909.992995564</v>
      </c>
      <c r="K592" s="29" t="n">
        <f aca="false">J592-('City Fiscal'!$B$13*E592)</f>
        <v>26566.2940893321</v>
      </c>
      <c r="L592" s="30" t="n">
        <f aca="false">'Mobility &amp; Emissions'!$B$21*B592*F592</f>
        <v>75.7206891405319</v>
      </c>
    </row>
    <row r="593" customFormat="false" ht="15" hidden="false" customHeight="true" outlineLevel="0" collapsed="false">
      <c r="A593" s="14" t="n">
        <v>589</v>
      </c>
      <c r="B593" s="47" t="n">
        <v>0.892772337033512</v>
      </c>
      <c r="C593" s="47" t="n">
        <v>0.930593851547001</v>
      </c>
      <c r="D593" s="47" t="n">
        <v>1.03661947136629</v>
      </c>
      <c r="E593" s="47" t="n">
        <v>0.977255524545245</v>
      </c>
      <c r="F593" s="47" t="n">
        <v>0.997656696427897</v>
      </c>
      <c r="G593" s="27" t="n">
        <f aca="false">'Visitor Economics'!$B$5*B593</f>
        <v>28747.2692524791</v>
      </c>
      <c r="H593" s="29" t="n">
        <f aca="false">MAX(0,'Visitor Economics'!$B$18*B593*C593*D593)</f>
        <v>623182.050007584</v>
      </c>
      <c r="I593" s="29" t="n">
        <f aca="false">H593*Controls!$B$52</f>
        <v>884918.511010769</v>
      </c>
      <c r="J593" s="29" t="n">
        <f aca="false">'City Fiscal'!$B$5+(H593*Controls!$B$56*Controls!$B$55)+('City Fiscal'!$B$9*B593*F593)</f>
        <v>143502.658996968</v>
      </c>
      <c r="K593" s="29" t="n">
        <f aca="false">J593-('City Fiscal'!$B$13*E593)</f>
        <v>36004.5512969914</v>
      </c>
      <c r="L593" s="30" t="n">
        <f aca="false">'Mobility &amp; Emissions'!$B$21*B593*F593</f>
        <v>83.1287065953689</v>
      </c>
    </row>
    <row r="594" customFormat="false" ht="15" hidden="false" customHeight="true" outlineLevel="0" collapsed="false">
      <c r="A594" s="14" t="n">
        <v>590</v>
      </c>
      <c r="B594" s="47" t="n">
        <v>0.968502427241665</v>
      </c>
      <c r="C594" s="47" t="n">
        <v>0.954599405645047</v>
      </c>
      <c r="D594" s="47" t="n">
        <v>1.01017454263569</v>
      </c>
      <c r="E594" s="47" t="n">
        <v>0.986111709400632</v>
      </c>
      <c r="F594" s="47" t="n">
        <v>0.911298450225108</v>
      </c>
      <c r="G594" s="27" t="n">
        <f aca="false">'Visitor Economics'!$B$5*B594</f>
        <v>31185.7781571816</v>
      </c>
      <c r="H594" s="29" t="n">
        <f aca="false">MAX(0,'Visitor Economics'!$B$18*B594*C594*D594)</f>
        <v>675791.869355839</v>
      </c>
      <c r="I594" s="29" t="n">
        <f aca="false">H594*Controls!$B$52</f>
        <v>959624.454485292</v>
      </c>
      <c r="J594" s="29" t="n">
        <f aca="false">'City Fiscal'!$B$5+(H594*Controls!$B$56*Controls!$B$55)+('City Fiscal'!$B$9*B594*F594)</f>
        <v>142986.02842</v>
      </c>
      <c r="K594" s="29" t="n">
        <f aca="false">J594-('City Fiscal'!$B$13*E594)</f>
        <v>34513.7403859302</v>
      </c>
      <c r="L594" s="30" t="n">
        <f aca="false">'Mobility &amp; Emissions'!$B$21*B594*F594</f>
        <v>82.374069453785</v>
      </c>
    </row>
    <row r="595" customFormat="false" ht="15" hidden="false" customHeight="true" outlineLevel="0" collapsed="false">
      <c r="A595" s="14" t="n">
        <v>591</v>
      </c>
      <c r="B595" s="47" t="n">
        <v>0.92570259812699</v>
      </c>
      <c r="C595" s="47" t="n">
        <v>0.996133472117028</v>
      </c>
      <c r="D595" s="47" t="n">
        <v>1.14976901676627</v>
      </c>
      <c r="E595" s="47" t="n">
        <v>0.926121157174241</v>
      </c>
      <c r="F595" s="47" t="n">
        <v>1.12445592045111</v>
      </c>
      <c r="G595" s="27" t="n">
        <f aca="false">'Visitor Economics'!$B$5*B595</f>
        <v>29807.6236596891</v>
      </c>
      <c r="H595" s="29" t="n">
        <f aca="false">MAX(0,'Visitor Economics'!$B$18*B595*C595*D595)</f>
        <v>767174.726399418</v>
      </c>
      <c r="I595" s="29" t="n">
        <f aca="false">H595*Controls!$B$52</f>
        <v>1089388.11148717</v>
      </c>
      <c r="J595" s="29" t="n">
        <f aca="false">'City Fiscal'!$B$5+(H595*Controls!$B$56*Controls!$B$55)+('City Fiscal'!$B$9*B595*F595)</f>
        <v>160369.093099714</v>
      </c>
      <c r="K595" s="29" t="n">
        <f aca="false">J595-('City Fiscal'!$B$13*E595)</f>
        <v>58495.7658105475</v>
      </c>
      <c r="L595" s="30" t="n">
        <f aca="false">'Mobility &amp; Emissions'!$B$21*B595*F595</f>
        <v>97.1500647679282</v>
      </c>
    </row>
    <row r="596" customFormat="false" ht="15" hidden="false" customHeight="true" outlineLevel="0" collapsed="false">
      <c r="A596" s="14" t="n">
        <v>592</v>
      </c>
      <c r="B596" s="47" t="n">
        <v>0.889599270070562</v>
      </c>
      <c r="C596" s="47" t="n">
        <v>0.857107950630559</v>
      </c>
      <c r="D596" s="47" t="n">
        <v>0.921814315215355</v>
      </c>
      <c r="E596" s="47" t="n">
        <v>0.915770037067968</v>
      </c>
      <c r="F596" s="47" t="n">
        <v>1.02227960225555</v>
      </c>
      <c r="G596" s="27" t="n">
        <f aca="false">'Visitor Economics'!$B$5*B596</f>
        <v>28645.0964962721</v>
      </c>
      <c r="H596" s="29" t="n">
        <f aca="false">MAX(0,'Visitor Economics'!$B$18*B596*C596*D596)</f>
        <v>508590.284076213</v>
      </c>
      <c r="I596" s="29" t="n">
        <f aca="false">H596*Controls!$B$52</f>
        <v>722198.203388223</v>
      </c>
      <c r="J596" s="29" t="n">
        <f aca="false">'City Fiscal'!$B$5+(H596*Controls!$B$56*Controls!$B$55)+('City Fiscal'!$B$9*B596*F596)</f>
        <v>144747.527343411</v>
      </c>
      <c r="K596" s="29" t="n">
        <f aca="false">J596-('City Fiscal'!$B$13*E596)</f>
        <v>44012.8232659345</v>
      </c>
      <c r="L596" s="30" t="n">
        <f aca="false">'Mobility &amp; Emissions'!$B$21*B596*F596</f>
        <v>84.8776388262854</v>
      </c>
    </row>
    <row r="597" customFormat="false" ht="15" hidden="false" customHeight="true" outlineLevel="0" collapsed="false">
      <c r="A597" s="14" t="n">
        <v>593</v>
      </c>
      <c r="B597" s="47" t="n">
        <v>0.936933761370819</v>
      </c>
      <c r="C597" s="47" t="n">
        <v>0.981415612627775</v>
      </c>
      <c r="D597" s="47" t="n">
        <v>1.03827789439929</v>
      </c>
      <c r="E597" s="47" t="n">
        <v>1.04935416774824</v>
      </c>
      <c r="F597" s="47" t="n">
        <v>0.947557675249055</v>
      </c>
      <c r="G597" s="27" t="n">
        <f aca="false">'Visitor Economics'!$B$5*B597</f>
        <v>30169.2671161404</v>
      </c>
      <c r="H597" s="29" t="n">
        <f aca="false">MAX(0,'Visitor Economics'!$B$18*B597*C597*D597)</f>
        <v>690828.312929317</v>
      </c>
      <c r="I597" s="29" t="n">
        <f aca="false">H597*Controls!$B$52</f>
        <v>980976.204359631</v>
      </c>
      <c r="J597" s="29" t="n">
        <f aca="false">'City Fiscal'!$B$5+(H597*Controls!$B$56*Controls!$B$55)+('City Fiscal'!$B$9*B597*F597)</f>
        <v>143635.395985328</v>
      </c>
      <c r="K597" s="29" t="n">
        <f aca="false">J597-('City Fiscal'!$B$13*E597)</f>
        <v>28206.4375330217</v>
      </c>
      <c r="L597" s="30" t="n">
        <f aca="false">'Mobility &amp; Emissions'!$B$21*B597*F597</f>
        <v>82.8597690954406</v>
      </c>
    </row>
    <row r="598" customFormat="false" ht="15" hidden="false" customHeight="true" outlineLevel="0" collapsed="false">
      <c r="A598" s="14" t="n">
        <v>594</v>
      </c>
      <c r="B598" s="47" t="n">
        <v>0.924564157676479</v>
      </c>
      <c r="C598" s="47" t="n">
        <v>1.03010005561737</v>
      </c>
      <c r="D598" s="47" t="n">
        <v>1.03091382973816</v>
      </c>
      <c r="E598" s="47" t="n">
        <v>1.00148692187332</v>
      </c>
      <c r="F598" s="47" t="n">
        <v>1.05668601391003</v>
      </c>
      <c r="G598" s="27" t="n">
        <f aca="false">'Visitor Economics'!$B$5*B598</f>
        <v>29770.9658771826</v>
      </c>
      <c r="H598" s="29" t="n">
        <f aca="false">MAX(0,'Visitor Economics'!$B$18*B598*C598*D598)</f>
        <v>710449.968237646</v>
      </c>
      <c r="I598" s="29" t="n">
        <f aca="false">H598*Controls!$B$52</f>
        <v>1008838.95489746</v>
      </c>
      <c r="J598" s="29" t="n">
        <f aca="false">'City Fiscal'!$B$5+(H598*Controls!$B$56*Controls!$B$55)+('City Fiscal'!$B$9*B598*F598)</f>
        <v>153220.358541725</v>
      </c>
      <c r="K598" s="29" t="n">
        <f aca="false">J598-('City Fiscal'!$B$13*E598)</f>
        <v>43056.7971356593</v>
      </c>
      <c r="L598" s="30" t="n">
        <f aca="false">'Mobility &amp; Emissions'!$B$21*B598*F598</f>
        <v>91.1826456178392</v>
      </c>
    </row>
    <row r="599" customFormat="false" ht="15" hidden="false" customHeight="true" outlineLevel="0" collapsed="false">
      <c r="A599" s="14" t="n">
        <v>595</v>
      </c>
      <c r="B599" s="47" t="n">
        <v>0.91199090877784</v>
      </c>
      <c r="C599" s="47" t="n">
        <v>0.897246359137502</v>
      </c>
      <c r="D599" s="47" t="n">
        <v>1.10971012153402</v>
      </c>
      <c r="E599" s="47" t="n">
        <v>1.10840639138718</v>
      </c>
      <c r="F599" s="47" t="n">
        <v>0.916914124069586</v>
      </c>
      <c r="G599" s="27" t="n">
        <f aca="false">'Visitor Economics'!$B$5*B599</f>
        <v>29366.1072626464</v>
      </c>
      <c r="H599" s="29" t="n">
        <f aca="false">MAX(0,'Visitor Economics'!$B$18*B599*C599*D599)</f>
        <v>657062.119944004</v>
      </c>
      <c r="I599" s="29" t="n">
        <f aca="false">H599*Controls!$B$52</f>
        <v>933028.210320486</v>
      </c>
      <c r="J599" s="29" t="n">
        <f aca="false">'City Fiscal'!$B$5+(H599*Controls!$B$56*Controls!$B$55)+('City Fiscal'!$B$9*B599*F599)</f>
        <v>137945.928906107</v>
      </c>
      <c r="K599" s="29" t="n">
        <f aca="false">J599-('City Fiscal'!$B$13*E599)</f>
        <v>16021.2258535173</v>
      </c>
      <c r="L599" s="30" t="n">
        <f aca="false">'Mobility &amp; Emissions'!$B$21*B599*F599</f>
        <v>78.0455864046055</v>
      </c>
    </row>
    <row r="600" customFormat="false" ht="15" hidden="false" customHeight="true" outlineLevel="0" collapsed="false">
      <c r="A600" s="14" t="n">
        <v>596</v>
      </c>
      <c r="B600" s="47" t="n">
        <v>0.93</v>
      </c>
      <c r="C600" s="47" t="n">
        <v>0.963342247784804</v>
      </c>
      <c r="D600" s="47" t="n">
        <v>1.09766402263418</v>
      </c>
      <c r="E600" s="47" t="n">
        <v>0.911216774773065</v>
      </c>
      <c r="F600" s="47" t="n">
        <v>1.0629224483578</v>
      </c>
      <c r="G600" s="27" t="n">
        <f aca="false">'Visitor Economics'!$B$5*B600</f>
        <v>29946</v>
      </c>
      <c r="H600" s="29" t="n">
        <f aca="false">MAX(0,'Visitor Economics'!$B$18*B600*C600*D600)</f>
        <v>711586.425740166</v>
      </c>
      <c r="I600" s="29" t="n">
        <f aca="false">H600*Controls!$B$52</f>
        <v>1010452.72455104</v>
      </c>
      <c r="J600" s="29" t="n">
        <f aca="false">'City Fiscal'!$B$5+(H600*Controls!$B$56*Controls!$B$55)+('City Fiscal'!$B$9*B600*F600)</f>
        <v>154452.05042318</v>
      </c>
      <c r="K600" s="29" t="n">
        <f aca="false">J600-('City Fiscal'!$B$13*E600)</f>
        <v>54218.2051981432</v>
      </c>
      <c r="L600" s="30" t="n">
        <f aca="false">'Mobility &amp; Emissions'!$B$21*B600*F600</f>
        <v>92.260053938258</v>
      </c>
    </row>
    <row r="601" customFormat="false" ht="15" hidden="false" customHeight="true" outlineLevel="0" collapsed="false">
      <c r="A601" s="14" t="n">
        <v>597</v>
      </c>
      <c r="B601" s="47" t="n">
        <v>0.916002941144668</v>
      </c>
      <c r="C601" s="47" t="n">
        <v>1.00960978304216</v>
      </c>
      <c r="D601" s="47" t="n">
        <v>0.942219912464531</v>
      </c>
      <c r="E601" s="47" t="n">
        <v>1.15872431868236</v>
      </c>
      <c r="F601" s="47" t="n">
        <v>1.05937715519804</v>
      </c>
      <c r="G601" s="27" t="n">
        <f aca="false">'Visitor Economics'!$B$5*B601</f>
        <v>29495.2947048583</v>
      </c>
      <c r="H601" s="29" t="n">
        <f aca="false">MAX(0,'Visitor Economics'!$B$18*B601*C601*D601)</f>
        <v>630517.821097476</v>
      </c>
      <c r="I601" s="29" t="n">
        <f aca="false">H601*Controls!$B$52</f>
        <v>895335.305958415</v>
      </c>
      <c r="J601" s="29" t="n">
        <f aca="false">'City Fiscal'!$B$5+(H601*Controls!$B$56*Controls!$B$55)+('City Fiscal'!$B$9*B601*F601)</f>
        <v>152004.380579316</v>
      </c>
      <c r="K601" s="29" t="n">
        <f aca="false">J601-('City Fiscal'!$B$13*E601)</f>
        <v>24544.7055242561</v>
      </c>
      <c r="L601" s="30" t="n">
        <f aca="false">'Mobility &amp; Emissions'!$B$21*B601*F601</f>
        <v>90.5683900867715</v>
      </c>
    </row>
    <row r="602" customFormat="false" ht="15" hidden="false" customHeight="true" outlineLevel="0" collapsed="false">
      <c r="A602" s="14" t="n">
        <v>598</v>
      </c>
      <c r="B602" s="47" t="n">
        <v>0.830366655636443</v>
      </c>
      <c r="C602" s="47" t="n">
        <v>0.940411793442337</v>
      </c>
      <c r="D602" s="47" t="n">
        <v>0.99049204260494</v>
      </c>
      <c r="E602" s="47" t="n">
        <v>0.86442634353624</v>
      </c>
      <c r="F602" s="47" t="n">
        <v>1.023518776097</v>
      </c>
      <c r="G602" s="27" t="n">
        <f aca="false">'Visitor Economics'!$B$5*B602</f>
        <v>26737.8063114935</v>
      </c>
      <c r="H602" s="29" t="n">
        <f aca="false">MAX(0,'Visitor Economics'!$B$18*B602*C602*D602)</f>
        <v>559672.062531519</v>
      </c>
      <c r="I602" s="29" t="n">
        <f aca="false">H602*Controls!$B$52</f>
        <v>794734.328794758</v>
      </c>
      <c r="J602" s="29" t="n">
        <f aca="false">'City Fiscal'!$B$5+(H602*Controls!$B$56*Controls!$B$55)+('City Fiscal'!$B$9*B602*F602)</f>
        <v>138765.56783457</v>
      </c>
      <c r="K602" s="29" t="n">
        <f aca="false">J602-('City Fiscal'!$B$13*E602)</f>
        <v>43678.6700455841</v>
      </c>
      <c r="L602" s="30" t="n">
        <f aca="false">'Mobility &amp; Emissions'!$B$21*B602*F602</f>
        <v>79.3222257250423</v>
      </c>
    </row>
    <row r="603" customFormat="false" ht="15" hidden="false" customHeight="true" outlineLevel="0" collapsed="false">
      <c r="A603" s="14" t="n">
        <v>599</v>
      </c>
      <c r="B603" s="47" t="n">
        <v>0.838685603004485</v>
      </c>
      <c r="C603" s="47" t="n">
        <v>0.96277604841149</v>
      </c>
      <c r="D603" s="47" t="n">
        <v>0.981712419052472</v>
      </c>
      <c r="E603" s="47" t="n">
        <v>0.985411305538648</v>
      </c>
      <c r="F603" s="47" t="n">
        <v>1.06422412926703</v>
      </c>
      <c r="G603" s="27" t="n">
        <f aca="false">'Visitor Economics'!$B$5*B603</f>
        <v>27005.6764167444</v>
      </c>
      <c r="H603" s="29" t="n">
        <f aca="false">MAX(0,'Visitor Economics'!$B$18*B603*C603*D603)</f>
        <v>573592.441817815</v>
      </c>
      <c r="I603" s="29" t="n">
        <f aca="false">H603*Controls!$B$52</f>
        <v>814501.267381297</v>
      </c>
      <c r="J603" s="29" t="n">
        <f aca="false">'City Fiscal'!$B$5+(H603*Controls!$B$56*Controls!$B$55)+('City Fiscal'!$B$9*B603*F603)</f>
        <v>143379.558595637</v>
      </c>
      <c r="K603" s="29" t="n">
        <f aca="false">J603-('City Fiscal'!$B$13*E603)</f>
        <v>34984.3149863855</v>
      </c>
      <c r="L603" s="30" t="n">
        <f aca="false">'Mobility &amp; Emissions'!$B$21*B603*F603</f>
        <v>83.3031580239385</v>
      </c>
    </row>
    <row r="604" customFormat="false" ht="15" hidden="false" customHeight="true" outlineLevel="0" collapsed="false">
      <c r="A604" s="14" t="n">
        <v>600</v>
      </c>
      <c r="B604" s="47" t="n">
        <v>0.919177584402087</v>
      </c>
      <c r="C604" s="47" t="n">
        <v>1.0987867965644</v>
      </c>
      <c r="D604" s="47" t="n">
        <v>1.10721957417069</v>
      </c>
      <c r="E604" s="47" t="n">
        <v>1.16544971910159</v>
      </c>
      <c r="F604" s="47" t="n">
        <v>0.990312152004023</v>
      </c>
      <c r="G604" s="27" t="n">
        <f aca="false">'Visitor Economics'!$B$5*B604</f>
        <v>29597.5182177472</v>
      </c>
      <c r="H604" s="29" t="n">
        <f aca="false">MAX(0,'Visitor Economics'!$B$18*B604*C604*D604)</f>
        <v>809172.810736868</v>
      </c>
      <c r="I604" s="29" t="n">
        <f aca="false">H604*Controls!$B$52</f>
        <v>1149025.39124635</v>
      </c>
      <c r="J604" s="29" t="n">
        <f aca="false">'City Fiscal'!$B$5+(H604*Controls!$B$56*Controls!$B$55)+('City Fiscal'!$B$9*B604*F604)</f>
        <v>146785.827894969</v>
      </c>
      <c r="K604" s="29" t="n">
        <f aca="false">J604-('City Fiscal'!$B$13*E604)</f>
        <v>18586.358793794</v>
      </c>
      <c r="L604" s="30" t="n">
        <f aca="false">'Mobility &amp; Emissions'!$B$21*B604*F604</f>
        <v>84.9573015116267</v>
      </c>
    </row>
    <row r="605" customFormat="false" ht="15" hidden="false" customHeight="true" outlineLevel="0" collapsed="false">
      <c r="A605" s="14" t="n">
        <v>601</v>
      </c>
      <c r="B605" s="47" t="n">
        <v>0.961519233931146</v>
      </c>
      <c r="C605" s="47" t="n">
        <v>0.902649863883736</v>
      </c>
      <c r="D605" s="47" t="n">
        <v>0.852973282782125</v>
      </c>
      <c r="E605" s="47" t="n">
        <v>1.10577361545126</v>
      </c>
      <c r="F605" s="47" t="n">
        <v>0.862549900398011</v>
      </c>
      <c r="G605" s="27" t="n">
        <f aca="false">'Visitor Economics'!$B$5*B605</f>
        <v>30960.9193325829</v>
      </c>
      <c r="H605" s="29" t="n">
        <f aca="false">MAX(0,'Visitor Economics'!$B$18*B605*C605*D605)</f>
        <v>535682.42120508</v>
      </c>
      <c r="I605" s="29" t="n">
        <f aca="false">H605*Controls!$B$52</f>
        <v>760669.038111214</v>
      </c>
      <c r="J605" s="29" t="n">
        <f aca="false">'City Fiscal'!$B$5+(H605*Controls!$B$56*Controls!$B$55)+('City Fiscal'!$B$9*B605*F605)</f>
        <v>136431.928753234</v>
      </c>
      <c r="K605" s="29" t="n">
        <f aca="false">J605-('City Fiscal'!$B$13*E605)</f>
        <v>14796.8310535952</v>
      </c>
      <c r="L605" s="30" t="n">
        <f aca="false">'Mobility &amp; Emissions'!$B$21*B605*F605</f>
        <v>77.4054218641659</v>
      </c>
    </row>
    <row r="606" customFormat="false" ht="15" hidden="false" customHeight="true" outlineLevel="0" collapsed="false">
      <c r="A606" s="14" t="n">
        <v>602</v>
      </c>
      <c r="B606" s="47" t="n">
        <v>0.797866169147302</v>
      </c>
      <c r="C606" s="47" t="n">
        <v>0.992258526639467</v>
      </c>
      <c r="D606" s="47" t="n">
        <v>0.881431257509705</v>
      </c>
      <c r="E606" s="47" t="n">
        <v>1.01232111999591</v>
      </c>
      <c r="F606" s="47" t="n">
        <v>0.978947663802025</v>
      </c>
      <c r="G606" s="27" t="n">
        <f aca="false">'Visitor Economics'!$B$5*B606</f>
        <v>25691.2906465431</v>
      </c>
      <c r="H606" s="29" t="n">
        <f aca="false">MAX(0,'Visitor Economics'!$B$18*B606*C606*D606)</f>
        <v>504937.943902482</v>
      </c>
      <c r="I606" s="29" t="n">
        <f aca="false">H606*Controls!$B$52</f>
        <v>717011.880341524</v>
      </c>
      <c r="J606" s="29" t="n">
        <f aca="false">'City Fiscal'!$B$5+(H606*Controls!$B$56*Controls!$B$55)+('City Fiscal'!$B$9*B606*F606)</f>
        <v>131111.223258522</v>
      </c>
      <c r="K606" s="29" t="n">
        <f aca="false">J606-('City Fiscal'!$B$13*E606)</f>
        <v>19755.9000589717</v>
      </c>
      <c r="L606" s="30" t="n">
        <f aca="false">'Mobility &amp; Emissions'!$B$21*B606*F606</f>
        <v>72.8985183361897</v>
      </c>
    </row>
    <row r="607" customFormat="false" ht="15" hidden="false" customHeight="true" outlineLevel="0" collapsed="false">
      <c r="A607" s="14" t="n">
        <v>603</v>
      </c>
      <c r="B607" s="47" t="n">
        <v>0.830031989766548</v>
      </c>
      <c r="C607" s="47" t="n">
        <v>1.09419302419887</v>
      </c>
      <c r="D607" s="47" t="n">
        <v>0.902234610483283</v>
      </c>
      <c r="E607" s="47" t="n">
        <v>0.996064476825963</v>
      </c>
      <c r="F607" s="47" t="n">
        <v>0.899974993746873</v>
      </c>
      <c r="G607" s="27" t="n">
        <f aca="false">'Visitor Economics'!$B$5*B607</f>
        <v>26727.0300704828</v>
      </c>
      <c r="H607" s="29" t="n">
        <f aca="false">MAX(0,'Visitor Economics'!$B$18*B607*C607*D607)</f>
        <v>592929.317749303</v>
      </c>
      <c r="I607" s="29" t="n">
        <f aca="false">H607*Controls!$B$52</f>
        <v>841959.631204011</v>
      </c>
      <c r="J607" s="29" t="n">
        <f aca="false">'City Fiscal'!$B$5+(H607*Controls!$B$56*Controls!$B$55)+('City Fiscal'!$B$9*B607*F607)</f>
        <v>128068.920389844</v>
      </c>
      <c r="K607" s="29" t="n">
        <f aca="false">J607-('City Fiscal'!$B$13*E607)</f>
        <v>18501.8279389885</v>
      </c>
      <c r="L607" s="30" t="n">
        <f aca="false">'Mobility &amp; Emissions'!$B$21*B607*F607</f>
        <v>69.7195298015295</v>
      </c>
    </row>
    <row r="608" customFormat="false" ht="15" hidden="false" customHeight="true" outlineLevel="0" collapsed="false">
      <c r="A608" s="14" t="n">
        <v>604</v>
      </c>
      <c r="B608" s="47" t="n">
        <v>0.985882555781536</v>
      </c>
      <c r="C608" s="47" t="n">
        <v>1.04327972888473</v>
      </c>
      <c r="D608" s="47" t="n">
        <v>0.9419008956121</v>
      </c>
      <c r="E608" s="47" t="n">
        <v>0.992287260120997</v>
      </c>
      <c r="F608" s="47" t="n">
        <v>0.934187291202414</v>
      </c>
      <c r="G608" s="27" t="n">
        <f aca="false">'Visitor Economics'!$B$5*B608</f>
        <v>31745.4182961655</v>
      </c>
      <c r="H608" s="29" t="n">
        <f aca="false">MAX(0,'Visitor Economics'!$B$18*B608*C608*D608)</f>
        <v>701012.610787017</v>
      </c>
      <c r="I608" s="29" t="n">
        <f aca="false">H608*Controls!$B$52</f>
        <v>995437.907317563</v>
      </c>
      <c r="J608" s="29" t="n">
        <f aca="false">'City Fiscal'!$B$5+(H608*Controls!$B$56*Controls!$B$55)+('City Fiscal'!$B$9*B608*F608)</f>
        <v>147222.559554763</v>
      </c>
      <c r="K608" s="29" t="n">
        <f aca="false">J608-('City Fiscal'!$B$13*E608)</f>
        <v>38070.9609414534</v>
      </c>
      <c r="L608" s="30" t="n">
        <f aca="false">'Mobility &amp; Emissions'!$B$21*B608*F608</f>
        <v>85.9583980964396</v>
      </c>
    </row>
    <row r="609" customFormat="false" ht="15" hidden="false" customHeight="true" outlineLevel="0" collapsed="false">
      <c r="A609" s="14" t="n">
        <v>605</v>
      </c>
      <c r="B609" s="47" t="n">
        <v>0.905465533115673</v>
      </c>
      <c r="C609" s="47" t="n">
        <v>0.967793775241043</v>
      </c>
      <c r="D609" s="47" t="n">
        <v>1.09087347801199</v>
      </c>
      <c r="E609" s="47" t="n">
        <v>1.00828477499338</v>
      </c>
      <c r="F609" s="47" t="n">
        <v>1.04532192206579</v>
      </c>
      <c r="G609" s="27" t="n">
        <f aca="false">'Visitor Economics'!$B$5*B609</f>
        <v>29155.9901663247</v>
      </c>
      <c r="H609" s="29" t="n">
        <f aca="false">MAX(0,'Visitor Economics'!$B$18*B609*C609*D609)</f>
        <v>691709.595686364</v>
      </c>
      <c r="I609" s="29" t="n">
        <f aca="false">H609*Controls!$B$52</f>
        <v>982227.625874636</v>
      </c>
      <c r="J609" s="29" t="n">
        <f aca="false">'City Fiscal'!$B$5+(H609*Controls!$B$56*Controls!$B$55)+('City Fiscal'!$B$9*B609*F609)</f>
        <v>149867.200202345</v>
      </c>
      <c r="K609" s="29" t="n">
        <f aca="false">J609-('City Fiscal'!$B$13*E609)</f>
        <v>38955.8749530729</v>
      </c>
      <c r="L609" s="30" t="n">
        <f aca="false">'Mobility &amp; Emissions'!$B$21*B609*F609</f>
        <v>88.3387313796214</v>
      </c>
    </row>
    <row r="610" customFormat="false" ht="15" hidden="false" customHeight="true" outlineLevel="0" collapsed="false">
      <c r="A610" s="14" t="n">
        <v>606</v>
      </c>
      <c r="B610" s="47" t="n">
        <v>0.881646446076585</v>
      </c>
      <c r="C610" s="47" t="n">
        <v>1.00466570327955</v>
      </c>
      <c r="D610" s="47" t="n">
        <v>1.11570089352494</v>
      </c>
      <c r="E610" s="47" t="n">
        <v>0.952405060326258</v>
      </c>
      <c r="F610" s="47" t="n">
        <v>1.00968784799598</v>
      </c>
      <c r="G610" s="27" t="n">
        <f aca="false">'Visitor Economics'!$B$5*B610</f>
        <v>28389.015563666</v>
      </c>
      <c r="H610" s="29" t="n">
        <f aca="false">MAX(0,'Visitor Economics'!$B$18*B610*C610*D610)</f>
        <v>715086.350703594</v>
      </c>
      <c r="I610" s="29" t="n">
        <f aca="false">H610*Controls!$B$52</f>
        <v>1015422.6179991</v>
      </c>
      <c r="J610" s="29" t="n">
        <f aca="false">'City Fiscal'!$B$5+(H610*Controls!$B$56*Controls!$B$55)+('City Fiscal'!$B$9*B610*F610)</f>
        <v>144045.954580332</v>
      </c>
      <c r="K610" s="29" t="n">
        <f aca="false">J610-('City Fiscal'!$B$13*E610)</f>
        <v>39281.3979444437</v>
      </c>
      <c r="L610" s="30" t="n">
        <f aca="false">'Mobility &amp; Emissions'!$B$21*B610*F610</f>
        <v>83.08273162444</v>
      </c>
    </row>
    <row r="611" customFormat="false" ht="15" hidden="false" customHeight="true" outlineLevel="0" collapsed="false">
      <c r="A611" s="14" t="n">
        <v>607</v>
      </c>
      <c r="B611" s="47" t="n">
        <v>0.847224995351432</v>
      </c>
      <c r="C611" s="47" t="n">
        <v>1.00342384463365</v>
      </c>
      <c r="D611" s="47" t="n">
        <v>1.15274389479318</v>
      </c>
      <c r="E611" s="47" t="n">
        <v>1.06122433949261</v>
      </c>
      <c r="F611" s="47" t="n">
        <v>1.01342584431892</v>
      </c>
      <c r="G611" s="27" t="n">
        <f aca="false">'Visitor Economics'!$B$5*B611</f>
        <v>27280.6448503161</v>
      </c>
      <c r="H611" s="29" t="n">
        <f aca="false">MAX(0,'Visitor Economics'!$B$18*B611*C611*D611)</f>
        <v>709105.212035385</v>
      </c>
      <c r="I611" s="29" t="n">
        <f aca="false">H611*Controls!$B$52</f>
        <v>1006929.40109025</v>
      </c>
      <c r="J611" s="29" t="n">
        <f aca="false">'City Fiscal'!$B$5+(H611*Controls!$B$56*Controls!$B$55)+('City Fiscal'!$B$9*B611*F611)</f>
        <v>140657.013368396</v>
      </c>
      <c r="K611" s="29" t="n">
        <f aca="false">J611-('City Fiscal'!$B$13*E611)</f>
        <v>23922.3360242085</v>
      </c>
      <c r="L611" s="30" t="n">
        <f aca="false">'Mobility &amp; Emissions'!$B$21*B611*F611</f>
        <v>80.1345702030775</v>
      </c>
    </row>
    <row r="612" customFormat="false" ht="15" hidden="false" customHeight="true" outlineLevel="0" collapsed="false">
      <c r="A612" s="14" t="n">
        <v>608</v>
      </c>
      <c r="B612" s="47" t="n">
        <v>0.961931075436168</v>
      </c>
      <c r="C612" s="47" t="n">
        <v>0.995519229715721</v>
      </c>
      <c r="D612" s="47" t="n">
        <v>1.09612911256511</v>
      </c>
      <c r="E612" s="47" t="n">
        <v>1.04121482332311</v>
      </c>
      <c r="F612" s="47" t="n">
        <v>1.11962731490303</v>
      </c>
      <c r="G612" s="27" t="n">
        <f aca="false">'Visitor Economics'!$B$5*B612</f>
        <v>30974.1806290446</v>
      </c>
      <c r="H612" s="29" t="n">
        <f aca="false">MAX(0,'Visitor Economics'!$B$18*B612*C612*D612)</f>
        <v>759538.846048781</v>
      </c>
      <c r="I612" s="29" t="n">
        <f aca="false">H612*Controls!$B$52</f>
        <v>1078545.16138927</v>
      </c>
      <c r="J612" s="29" t="n">
        <f aca="false">'City Fiscal'!$B$5+(H612*Controls!$B$56*Controls!$B$55)+('City Fiscal'!$B$9*B612*F612)</f>
        <v>164147.542279351</v>
      </c>
      <c r="K612" s="29" t="n">
        <f aca="false">J612-('City Fiscal'!$B$13*E612)</f>
        <v>49613.9117138092</v>
      </c>
      <c r="L612" s="30" t="n">
        <f aca="false">'Mobility &amp; Emissions'!$B$21*B612*F612</f>
        <v>100.518642890121</v>
      </c>
    </row>
    <row r="613" customFormat="false" ht="15" hidden="false" customHeight="true" outlineLevel="0" collapsed="false">
      <c r="A613" s="14" t="n">
        <v>609</v>
      </c>
      <c r="B613" s="47" t="n">
        <v>0.967350213675647</v>
      </c>
      <c r="C613" s="47" t="n">
        <v>0.968158698698389</v>
      </c>
      <c r="D613" s="47" t="n">
        <v>1.1810163062746</v>
      </c>
      <c r="E613" s="47" t="n">
        <v>1.03537532760654</v>
      </c>
      <c r="F613" s="47" t="n">
        <v>1.09132717835318</v>
      </c>
      <c r="G613" s="27" t="n">
        <f aca="false">'Visitor Economics'!$B$5*B613</f>
        <v>31148.6768803558</v>
      </c>
      <c r="H613" s="29" t="n">
        <f aca="false">MAX(0,'Visitor Economics'!$B$18*B613*C613*D613)</f>
        <v>800351.65493774</v>
      </c>
      <c r="I613" s="29" t="n">
        <f aca="false">H613*Controls!$B$52</f>
        <v>1136499.35001159</v>
      </c>
      <c r="J613" s="29" t="n">
        <f aca="false">'City Fiscal'!$B$5+(H613*Controls!$B$56*Controls!$B$55)+('City Fiscal'!$B$9*B613*F613)</f>
        <v>162152.032231292</v>
      </c>
      <c r="K613" s="29" t="n">
        <f aca="false">J613-('City Fiscal'!$B$13*E613)</f>
        <v>48260.7461945723</v>
      </c>
      <c r="L613" s="30" t="n">
        <f aca="false">'Mobility &amp; Emissions'!$B$21*B613*F613</f>
        <v>98.5298630864197</v>
      </c>
    </row>
    <row r="614" customFormat="false" ht="15" hidden="false" customHeight="true" outlineLevel="0" collapsed="false">
      <c r="A614" s="14" t="n">
        <v>610</v>
      </c>
      <c r="B614" s="47" t="n">
        <v>0.870637740483752</v>
      </c>
      <c r="C614" s="47" t="n">
        <v>0.931807870921505</v>
      </c>
      <c r="D614" s="47" t="n">
        <v>1.10763163975096</v>
      </c>
      <c r="E614" s="47" t="n">
        <v>1.02558130648273</v>
      </c>
      <c r="F614" s="47" t="n">
        <v>0.916577023063516</v>
      </c>
      <c r="G614" s="27" t="n">
        <f aca="false">'Visitor Economics'!$B$5*B614</f>
        <v>28034.5352435768</v>
      </c>
      <c r="H614" s="29" t="n">
        <f aca="false">MAX(0,'Visitor Economics'!$B$18*B614*C614*D614)</f>
        <v>650210.361838298</v>
      </c>
      <c r="I614" s="29" t="n">
        <f aca="false">H614*Controls!$B$52</f>
        <v>923298.713810383</v>
      </c>
      <c r="J614" s="29" t="n">
        <f aca="false">'City Fiscal'!$B$5+(H614*Controls!$B$56*Controls!$B$55)+('City Fiscal'!$B$9*B614*F614)</f>
        <v>133848.940153398</v>
      </c>
      <c r="K614" s="29" t="n">
        <f aca="false">J614-('City Fiscal'!$B$13*E614)</f>
        <v>21034.9964402972</v>
      </c>
      <c r="L614" s="30" t="n">
        <f aca="false">'Mobility &amp; Emissions'!$B$21*B614*F614</f>
        <v>74.4793077676431</v>
      </c>
    </row>
    <row r="615" customFormat="false" ht="15" hidden="false" customHeight="true" outlineLevel="0" collapsed="false">
      <c r="A615" s="14" t="n">
        <v>611</v>
      </c>
      <c r="B615" s="47" t="n">
        <v>0.927242250997558</v>
      </c>
      <c r="C615" s="47" t="n">
        <v>0.908334591186013</v>
      </c>
      <c r="D615" s="47" t="n">
        <v>0.885919308910132</v>
      </c>
      <c r="E615" s="47" t="n">
        <v>1.02343599138433</v>
      </c>
      <c r="F615" s="47" t="n">
        <v>1.03507611214373</v>
      </c>
      <c r="G615" s="27" t="n">
        <f aca="false">'Visitor Economics'!$B$5*B615</f>
        <v>29857.2004821214</v>
      </c>
      <c r="H615" s="29" t="n">
        <f aca="false">MAX(0,'Visitor Economics'!$B$18*B615*C615*D615)</f>
        <v>539918.119911774</v>
      </c>
      <c r="I615" s="29" t="n">
        <f aca="false">H615*Controls!$B$52</f>
        <v>766683.73027472</v>
      </c>
      <c r="J615" s="29" t="n">
        <f aca="false">'City Fiscal'!$B$5+(H615*Controls!$B$56*Controls!$B$55)+('City Fiscal'!$B$9*B615*F615)</f>
        <v>150290.283930262</v>
      </c>
      <c r="K615" s="29" t="n">
        <f aca="false">J615-('City Fiscal'!$B$13*E615)</f>
        <v>37712.3248779855</v>
      </c>
      <c r="L615" s="30" t="n">
        <f aca="false">'Mobility &amp; Emissions'!$B$21*B615*F615</f>
        <v>89.5766207716455</v>
      </c>
    </row>
    <row r="616" customFormat="false" ht="15" hidden="false" customHeight="true" outlineLevel="0" collapsed="false">
      <c r="A616" s="14" t="n">
        <v>612</v>
      </c>
      <c r="B616" s="47" t="n">
        <v>0.863899940405223</v>
      </c>
      <c r="C616" s="47" t="n">
        <v>0.884691575958543</v>
      </c>
      <c r="D616" s="47" t="n">
        <v>1.08294836127712</v>
      </c>
      <c r="E616" s="47" t="n">
        <v>0.952697023327579</v>
      </c>
      <c r="F616" s="47" t="n">
        <v>0.96705767809076</v>
      </c>
      <c r="G616" s="27" t="n">
        <f aca="false">'Visitor Economics'!$B$5*B616</f>
        <v>27817.5780810482</v>
      </c>
      <c r="H616" s="29" t="n">
        <f aca="false">MAX(0,'Visitor Economics'!$B$18*B616*C616*D616)</f>
        <v>598904.745108715</v>
      </c>
      <c r="I616" s="29" t="n">
        <f aca="false">H616*Controls!$B$52</f>
        <v>850444.738054375</v>
      </c>
      <c r="J616" s="29" t="n">
        <f aca="false">'City Fiscal'!$B$5+(H616*Controls!$B$56*Controls!$B$55)+('City Fiscal'!$B$9*B616*F616)</f>
        <v>137486.738381123</v>
      </c>
      <c r="K616" s="29" t="n">
        <f aca="false">J616-('City Fiscal'!$B$13*E616)</f>
        <v>32690.0658150892</v>
      </c>
      <c r="L616" s="30" t="n">
        <f aca="false">'Mobility &amp; Emissions'!$B$21*B616*F616</f>
        <v>77.9731353568802</v>
      </c>
    </row>
    <row r="617" customFormat="false" ht="15" hidden="false" customHeight="true" outlineLevel="0" collapsed="false">
      <c r="A617" s="14" t="n">
        <v>613</v>
      </c>
      <c r="B617" s="47" t="n">
        <v>0.874805063155931</v>
      </c>
      <c r="C617" s="47" t="n">
        <v>1.07736198878934</v>
      </c>
      <c r="D617" s="47" t="n">
        <v>1.13100945415706</v>
      </c>
      <c r="E617" s="47" t="n">
        <v>0.963081445337961</v>
      </c>
      <c r="F617" s="47" t="n">
        <v>0.963940774088998</v>
      </c>
      <c r="G617" s="27" t="n">
        <f aca="false">'Visitor Economics'!$B$5*B617</f>
        <v>28168.723033621</v>
      </c>
      <c r="H617" s="29" t="n">
        <f aca="false">MAX(0,'Visitor Economics'!$B$18*B617*C617*D617)</f>
        <v>771318.666182587</v>
      </c>
      <c r="I617" s="29" t="n">
        <f aca="false">H617*Controls!$B$52</f>
        <v>1095272.50597927</v>
      </c>
      <c r="J617" s="29" t="n">
        <f aca="false">'City Fiscal'!$B$5+(H617*Controls!$B$56*Controls!$B$55)+('City Fiscal'!$B$9*B617*F617)</f>
        <v>139433.275091795</v>
      </c>
      <c r="K617" s="29" t="n">
        <f aca="false">J617-('City Fiscal'!$B$13*E617)</f>
        <v>33494.3161046189</v>
      </c>
      <c r="L617" s="30" t="n">
        <f aca="false">'Mobility &amp; Emissions'!$B$21*B617*F617</f>
        <v>78.7029145187397</v>
      </c>
    </row>
    <row r="618" customFormat="false" ht="15" hidden="false" customHeight="true" outlineLevel="0" collapsed="false">
      <c r="A618" s="14" t="n">
        <v>614</v>
      </c>
      <c r="B618" s="47" t="n">
        <v>0.964250560540935</v>
      </c>
      <c r="C618" s="47" t="n">
        <v>1.08796876524391</v>
      </c>
      <c r="D618" s="47" t="n">
        <v>1.09013677721252</v>
      </c>
      <c r="E618" s="47" t="n">
        <v>1.10429052879102</v>
      </c>
      <c r="F618" s="47" t="n">
        <v>1.02841669522504</v>
      </c>
      <c r="G618" s="27" t="n">
        <f aca="false">'Visitor Economics'!$B$5*B618</f>
        <v>31048.8680494181</v>
      </c>
      <c r="H618" s="29" t="n">
        <f aca="false">MAX(0,'Visitor Economics'!$B$18*B618*C618*D618)</f>
        <v>827526.64880315</v>
      </c>
      <c r="I618" s="29" t="n">
        <f aca="false">H618*Controls!$B$52</f>
        <v>1175087.84130047</v>
      </c>
      <c r="J618" s="29" t="n">
        <f aca="false">'City Fiscal'!$B$5+(H618*Controls!$B$56*Controls!$B$55)+('City Fiscal'!$B$9*B618*F618)</f>
        <v>155535.677935599</v>
      </c>
      <c r="K618" s="29" t="n">
        <f aca="false">J618-('City Fiscal'!$B$13*E618)</f>
        <v>34063.7197685866</v>
      </c>
      <c r="L618" s="30" t="n">
        <f aca="false">'Mobility &amp; Emissions'!$B$21*B618*F618</f>
        <v>92.5525086211919</v>
      </c>
    </row>
    <row r="619" customFormat="false" ht="15" hidden="false" customHeight="true" outlineLevel="0" collapsed="false">
      <c r="A619" s="14" t="n">
        <v>615</v>
      </c>
      <c r="B619" s="47" t="n">
        <v>0.914137243150439</v>
      </c>
      <c r="C619" s="47" t="n">
        <v>1.03482958260053</v>
      </c>
      <c r="D619" s="47" t="n">
        <v>0.897489999574432</v>
      </c>
      <c r="E619" s="47" t="n">
        <v>0.848507893643691</v>
      </c>
      <c r="F619" s="47" t="n">
        <v>1.00825198414087</v>
      </c>
      <c r="G619" s="27" t="n">
        <f aca="false">'Visitor Economics'!$B$5*B619</f>
        <v>29435.2192294441</v>
      </c>
      <c r="H619" s="29" t="n">
        <f aca="false">MAX(0,'Visitor Economics'!$B$18*B619*C619*D619)</f>
        <v>614333.963582911</v>
      </c>
      <c r="I619" s="29" t="n">
        <f aca="false">H619*Controls!$B$52</f>
        <v>872354.228287733</v>
      </c>
      <c r="J619" s="29" t="n">
        <f aca="false">'City Fiscal'!$B$5+(H619*Controls!$B$56*Controls!$B$55)+('City Fiscal'!$B$9*B619*F619)</f>
        <v>146733.185877957</v>
      </c>
      <c r="K619" s="29" t="n">
        <f aca="false">J619-('City Fiscal'!$B$13*E619)</f>
        <v>53397.3175771513</v>
      </c>
      <c r="L619" s="30" t="n">
        <f aca="false">'Mobility &amp; Emissions'!$B$21*B619*F619</f>
        <v>86.0220255786672</v>
      </c>
    </row>
    <row r="620" customFormat="false" ht="15" hidden="false" customHeight="true" outlineLevel="0" collapsed="false">
      <c r="A620" s="14" t="n">
        <v>616</v>
      </c>
      <c r="B620" s="47" t="n">
        <v>0.919418793568156</v>
      </c>
      <c r="C620" s="47" t="n">
        <v>1.00450974067048</v>
      </c>
      <c r="D620" s="47" t="n">
        <v>0.985521045151099</v>
      </c>
      <c r="E620" s="47" t="n">
        <v>0.911640056743762</v>
      </c>
      <c r="F620" s="47" t="n">
        <v>1.01049193571696</v>
      </c>
      <c r="G620" s="27" t="n">
        <f aca="false">'Visitor Economics'!$B$5*B620</f>
        <v>29605.2851528946</v>
      </c>
      <c r="H620" s="29" t="n">
        <f aca="false">MAX(0,'Visitor Economics'!$B$18*B620*C620*D620)</f>
        <v>658609.667949176</v>
      </c>
      <c r="I620" s="29" t="n">
        <f aca="false">H620*Controls!$B$52</f>
        <v>935225.72848783</v>
      </c>
      <c r="J620" s="29" t="n">
        <f aca="false">'City Fiscal'!$B$5+(H620*Controls!$B$56*Controls!$B$55)+('City Fiscal'!$B$9*B620*F620)</f>
        <v>147803.292536709</v>
      </c>
      <c r="K620" s="29" t="n">
        <f aca="false">J620-('City Fiscal'!$B$13*E620)</f>
        <v>47522.8862948954</v>
      </c>
      <c r="L620" s="30" t="n">
        <f aca="false">'Mobility &amp; Emissions'!$B$21*B620*F620</f>
        <v>86.7112416617907</v>
      </c>
    </row>
    <row r="621" customFormat="false" ht="15" hidden="false" customHeight="true" outlineLevel="0" collapsed="false">
      <c r="A621" s="14" t="n">
        <v>617</v>
      </c>
      <c r="B621" s="47" t="n">
        <v>0.959106650609447</v>
      </c>
      <c r="C621" s="47" t="n">
        <v>0.983245214324954</v>
      </c>
      <c r="D621" s="47" t="n">
        <v>1.15395964389904</v>
      </c>
      <c r="E621" s="47" t="n">
        <v>1.17275849561279</v>
      </c>
      <c r="F621" s="47" t="n">
        <v>0.987395414770654</v>
      </c>
      <c r="G621" s="27" t="n">
        <f aca="false">'Visitor Economics'!$B$5*B621</f>
        <v>30883.2341496242</v>
      </c>
      <c r="H621" s="29" t="n">
        <f aca="false">MAX(0,'Visitor Economics'!$B$18*B621*C621*D621)</f>
        <v>787433.766832222</v>
      </c>
      <c r="I621" s="29" t="n">
        <f aca="false">H621*Controls!$B$52</f>
        <v>1118155.94890176</v>
      </c>
      <c r="J621" s="29" t="n">
        <f aca="false">'City Fiscal'!$B$5+(H621*Controls!$B$56*Controls!$B$55)+('City Fiscal'!$B$9*B621*F621)</f>
        <v>150542.064051039</v>
      </c>
      <c r="K621" s="29" t="n">
        <f aca="false">J621-('City Fiscal'!$B$13*E621)</f>
        <v>21538.6295336324</v>
      </c>
      <c r="L621" s="30" t="n">
        <f aca="false">'Mobility &amp; Emissions'!$B$21*B621*F621</f>
        <v>88.3867540529305</v>
      </c>
    </row>
    <row r="622" customFormat="false" ht="15" hidden="false" customHeight="true" outlineLevel="0" collapsed="false">
      <c r="A622" s="14" t="n">
        <v>618</v>
      </c>
      <c r="B622" s="47" t="n">
        <v>0.992504545830265</v>
      </c>
      <c r="C622" s="47" t="n">
        <v>0.939285372112426</v>
      </c>
      <c r="D622" s="47" t="n">
        <v>0.963739217370707</v>
      </c>
      <c r="E622" s="47" t="n">
        <v>1.10916765286341</v>
      </c>
      <c r="F622" s="47" t="n">
        <v>0.943554796777076</v>
      </c>
      <c r="G622" s="27" t="n">
        <f aca="false">'Visitor Economics'!$B$5*B622</f>
        <v>31958.6463757345</v>
      </c>
      <c r="H622" s="29" t="n">
        <f aca="false">MAX(0,'Visitor Economics'!$B$18*B622*C622*D622)</f>
        <v>650106.13601587</v>
      </c>
      <c r="I622" s="29" t="n">
        <f aca="false">H622*Controls!$B$52</f>
        <v>923150.713142535</v>
      </c>
      <c r="J622" s="29" t="n">
        <f aca="false">'City Fiscal'!$B$5+(H622*Controls!$B$56*Controls!$B$55)+('City Fiscal'!$B$9*B622*F622)</f>
        <v>148534.843158221</v>
      </c>
      <c r="K622" s="29" t="n">
        <f aca="false">J622-('City Fiscal'!$B$13*E622)</f>
        <v>26526.4013432461</v>
      </c>
      <c r="L622" s="30" t="n">
        <f aca="false">'Mobility &amp; Emissions'!$B$21*B622*F622</f>
        <v>87.4034967492178</v>
      </c>
    </row>
    <row r="623" customFormat="false" ht="15" hidden="false" customHeight="true" outlineLevel="0" collapsed="false">
      <c r="A623" s="14" t="n">
        <v>619</v>
      </c>
      <c r="B623" s="47" t="n">
        <v>0.832967914816425</v>
      </c>
      <c r="C623" s="47" t="n">
        <v>0.915388678573508</v>
      </c>
      <c r="D623" s="47" t="n">
        <v>0.962043126758469</v>
      </c>
      <c r="E623" s="47" t="n">
        <v>0.998031738743405</v>
      </c>
      <c r="F623" s="47" t="n">
        <v>0.94732676918505</v>
      </c>
      <c r="G623" s="27" t="n">
        <f aca="false">'Visitor Economics'!$B$5*B623</f>
        <v>26821.5668570889</v>
      </c>
      <c r="H623" s="29" t="n">
        <f aca="false">MAX(0,'Visitor Economics'!$B$18*B623*C623*D623)</f>
        <v>530790.352484237</v>
      </c>
      <c r="I623" s="29" t="n">
        <f aca="false">H623*Controls!$B$52</f>
        <v>753722.300527617</v>
      </c>
      <c r="J623" s="29" t="n">
        <f aca="false">'City Fiscal'!$B$5+(H623*Controls!$B$56*Controls!$B$55)+('City Fiscal'!$B$9*B623*F623)</f>
        <v>132129.71786556</v>
      </c>
      <c r="K623" s="29" t="n">
        <f aca="false">J623-('City Fiscal'!$B$13*E623)</f>
        <v>22346.2266037858</v>
      </c>
      <c r="L623" s="30" t="n">
        <f aca="false">'Mobility &amp; Emissions'!$B$21*B623*F623</f>
        <v>73.647372815687</v>
      </c>
    </row>
    <row r="624" customFormat="false" ht="15" hidden="false" customHeight="true" outlineLevel="0" collapsed="false">
      <c r="A624" s="14" t="n">
        <v>620</v>
      </c>
      <c r="B624" s="47" t="n">
        <v>0.816889022757455</v>
      </c>
      <c r="C624" s="47" t="n">
        <v>1.03983766470468</v>
      </c>
      <c r="D624" s="47" t="n">
        <v>1.17933352987449</v>
      </c>
      <c r="E624" s="47" t="n">
        <v>1.03663118784602</v>
      </c>
      <c r="F624" s="47" t="n">
        <v>1.0306580543145</v>
      </c>
      <c r="G624" s="27" t="n">
        <f aca="false">'Visitor Economics'!$B$5*B624</f>
        <v>26303.8265327901</v>
      </c>
      <c r="H624" s="29" t="n">
        <f aca="false">MAX(0,'Visitor Economics'!$B$18*B624*C624*D624)</f>
        <v>724869.656313198</v>
      </c>
      <c r="I624" s="29" t="n">
        <f aca="false">H624*Controls!$B$52</f>
        <v>1029314.91196474</v>
      </c>
      <c r="J624" s="29" t="n">
        <f aca="false">'City Fiscal'!$B$5+(H624*Controls!$B$56*Controls!$B$55)+('City Fiscal'!$B$9*B624*F624)</f>
        <v>138991.543534717</v>
      </c>
      <c r="K624" s="29" t="n">
        <f aca="false">J624-('City Fiscal'!$B$13*E624)</f>
        <v>24962.1128716546</v>
      </c>
      <c r="L624" s="30" t="n">
        <f aca="false">'Mobility &amp; Emissions'!$B$21*B624*F624</f>
        <v>78.5790615823904</v>
      </c>
    </row>
    <row r="625" customFormat="false" ht="15" hidden="false" customHeight="true" outlineLevel="0" collapsed="false">
      <c r="A625" s="14" t="n">
        <v>621</v>
      </c>
      <c r="B625" s="47" t="n">
        <v>0.923067033471579</v>
      </c>
      <c r="C625" s="47" t="n">
        <v>0.986520269036535</v>
      </c>
      <c r="D625" s="47" t="n">
        <v>0.969828606906335</v>
      </c>
      <c r="E625" s="47" t="n">
        <v>0.879343912914468</v>
      </c>
      <c r="F625" s="47" t="n">
        <v>1.1393933982822</v>
      </c>
      <c r="G625" s="27" t="n">
        <f aca="false">'Visitor Economics'!$B$5*B625</f>
        <v>29722.7584777848</v>
      </c>
      <c r="H625" s="29" t="n">
        <f aca="false">MAX(0,'Visitor Economics'!$B$18*B625*C625*D625)</f>
        <v>639041.280392249</v>
      </c>
      <c r="I625" s="29" t="n">
        <f aca="false">H625*Controls!$B$52</f>
        <v>907438.618156994</v>
      </c>
      <c r="J625" s="29" t="n">
        <f aca="false">'City Fiscal'!$B$5+(H625*Controls!$B$56*Controls!$B$55)+('City Fiscal'!$B$9*B625*F625)</f>
        <v>160686.844330985</v>
      </c>
      <c r="K625" s="29" t="n">
        <f aca="false">J625-('City Fiscal'!$B$13*E625)</f>
        <v>63959.0139103936</v>
      </c>
      <c r="L625" s="30" t="n">
        <f aca="false">'Mobility &amp; Emissions'!$B$21*B625*F625</f>
        <v>98.1603540139581</v>
      </c>
    </row>
    <row r="626" customFormat="false" ht="15" hidden="false" customHeight="true" outlineLevel="0" collapsed="false">
      <c r="A626" s="14" t="n">
        <v>622</v>
      </c>
      <c r="B626" s="47" t="n">
        <v>0.921106117479391</v>
      </c>
      <c r="C626" s="47" t="n">
        <v>1.01651087013604</v>
      </c>
      <c r="D626" s="47" t="n">
        <v>0.926829492950156</v>
      </c>
      <c r="E626" s="47" t="n">
        <v>0.934876890626444</v>
      </c>
      <c r="F626" s="47" t="n">
        <v>0.899522722057658</v>
      </c>
      <c r="G626" s="27" t="n">
        <f aca="false">'Visitor Economics'!$B$5*B626</f>
        <v>29659.6169828364</v>
      </c>
      <c r="H626" s="29" t="n">
        <f aca="false">MAX(0,'Visitor Economics'!$B$18*B626*C626*D626)</f>
        <v>627937.194844239</v>
      </c>
      <c r="I626" s="29" t="n">
        <f aca="false">H626*Controls!$B$52</f>
        <v>891670.816678819</v>
      </c>
      <c r="J626" s="29" t="n">
        <f aca="false">'City Fiscal'!$B$5+(H626*Controls!$B$56*Controls!$B$55)+('City Fiscal'!$B$9*B626*F626)</f>
        <v>136944.63418316</v>
      </c>
      <c r="K626" s="29" t="n">
        <f aca="false">J626-('City Fiscal'!$B$13*E626)</f>
        <v>34108.1762142516</v>
      </c>
      <c r="L626" s="30" t="n">
        <f aca="false">'Mobility &amp; Emissions'!$B$21*B626*F626</f>
        <v>77.3305290213014</v>
      </c>
    </row>
    <row r="627" customFormat="false" ht="15" hidden="false" customHeight="true" outlineLevel="0" collapsed="false">
      <c r="A627" s="14" t="n">
        <v>623</v>
      </c>
      <c r="B627" s="47" t="n">
        <v>0.960704131678506</v>
      </c>
      <c r="C627" s="47" t="n">
        <v>0.962207594733896</v>
      </c>
      <c r="D627" s="47" t="n">
        <v>1.14133192741196</v>
      </c>
      <c r="E627" s="47" t="n">
        <v>0.987734611812828</v>
      </c>
      <c r="F627" s="47" t="n">
        <v>0.934985292845292</v>
      </c>
      <c r="G627" s="27" t="n">
        <f aca="false">'Visitor Economics'!$B$5*B627</f>
        <v>30934.6730400479</v>
      </c>
      <c r="H627" s="29" t="n">
        <f aca="false">MAX(0,'Visitor Economics'!$B$18*B627*C627*D627)</f>
        <v>763422.709640386</v>
      </c>
      <c r="I627" s="29" t="n">
        <f aca="false">H627*Controls!$B$52</f>
        <v>1084060.24768935</v>
      </c>
      <c r="J627" s="29" t="n">
        <f aca="false">'City Fiscal'!$B$5+(H627*Controls!$B$56*Controls!$B$55)+('City Fiscal'!$B$9*B627*F627)</f>
        <v>145213.639800093</v>
      </c>
      <c r="K627" s="29" t="n">
        <f aca="false">J627-('City Fiscal'!$B$13*E627)</f>
        <v>36562.8325006816</v>
      </c>
      <c r="L627" s="30" t="n">
        <f aca="false">'Mobility &amp; Emissions'!$B$21*B627*F627</f>
        <v>83.8346613646283</v>
      </c>
    </row>
    <row r="628" customFormat="false" ht="15" hidden="false" customHeight="true" outlineLevel="0" collapsed="false">
      <c r="A628" s="14" t="n">
        <v>624</v>
      </c>
      <c r="B628" s="47" t="n">
        <v>0.9200200020004</v>
      </c>
      <c r="C628" s="47" t="n">
        <v>1.07450274733569</v>
      </c>
      <c r="D628" s="47" t="n">
        <v>1.0065277223173</v>
      </c>
      <c r="E628" s="47" t="n">
        <v>0.960350632346278</v>
      </c>
      <c r="F628" s="47" t="n">
        <v>0.991430194795878</v>
      </c>
      <c r="G628" s="27" t="n">
        <f aca="false">'Visitor Economics'!$B$5*B628</f>
        <v>29624.6440644129</v>
      </c>
      <c r="H628" s="29" t="n">
        <f aca="false">MAX(0,'Visitor Economics'!$B$18*B628*C628*D628)</f>
        <v>719987.920452736</v>
      </c>
      <c r="I628" s="29" t="n">
        <f aca="false">H628*Controls!$B$52</f>
        <v>1022382.84704289</v>
      </c>
      <c r="J628" s="29" t="n">
        <f aca="false">'City Fiscal'!$B$5+(H628*Controls!$B$56*Controls!$B$55)+('City Fiscal'!$B$9*B628*F628)</f>
        <v>146405.484330342</v>
      </c>
      <c r="K628" s="29" t="n">
        <f aca="false">J628-('City Fiscal'!$B$13*E628)</f>
        <v>40766.9147722511</v>
      </c>
      <c r="L628" s="30" t="n">
        <f aca="false">'Mobility &amp; Emissions'!$B$21*B628*F628</f>
        <v>85.131167093111</v>
      </c>
    </row>
    <row r="629" customFormat="false" ht="15" hidden="false" customHeight="true" outlineLevel="0" collapsed="false">
      <c r="A629" s="14" t="n">
        <v>625</v>
      </c>
      <c r="B629" s="47" t="n">
        <v>0.844156059729382</v>
      </c>
      <c r="C629" s="47" t="n">
        <v>0.9055394645763</v>
      </c>
      <c r="D629" s="47" t="n">
        <v>0.989753903420175</v>
      </c>
      <c r="E629" s="47" t="n">
        <v>0.912898331524307</v>
      </c>
      <c r="F629" s="47" t="n">
        <v>1.01949137959506</v>
      </c>
      <c r="G629" s="27" t="n">
        <f aca="false">'Visitor Economics'!$B$5*B629</f>
        <v>27181.8251232861</v>
      </c>
      <c r="H629" s="29" t="n">
        <f aca="false">MAX(0,'Visitor Economics'!$B$18*B629*C629*D629)</f>
        <v>547459.526344318</v>
      </c>
      <c r="I629" s="29" t="n">
        <f aca="false">H629*Controls!$B$52</f>
        <v>777392.527408932</v>
      </c>
      <c r="J629" s="29" t="n">
        <f aca="false">'City Fiscal'!$B$5+(H629*Controls!$B$56*Controls!$B$55)+('City Fiscal'!$B$9*B629*F629)</f>
        <v>139822.74010625</v>
      </c>
      <c r="K629" s="29" t="n">
        <f aca="false">J629-('City Fiscal'!$B$13*E629)</f>
        <v>39403.9236385766</v>
      </c>
      <c r="L629" s="30" t="n">
        <f aca="false">'Mobility &amp; Emissions'!$B$21*B629*F629</f>
        <v>80.3221780904745</v>
      </c>
    </row>
    <row r="630" customFormat="false" ht="15" hidden="false" customHeight="true" outlineLevel="0" collapsed="false">
      <c r="A630" s="14" t="n">
        <v>626</v>
      </c>
      <c r="B630" s="47" t="n">
        <v>0.897871116054783</v>
      </c>
      <c r="C630" s="47" t="n">
        <v>0.925342299196477</v>
      </c>
      <c r="D630" s="47" t="n">
        <v>1.18916210062798</v>
      </c>
      <c r="E630" s="47" t="n">
        <v>1.09464958963685</v>
      </c>
      <c r="F630" s="47" t="n">
        <v>1.10783959203233</v>
      </c>
      <c r="G630" s="27" t="n">
        <f aca="false">'Visitor Economics'!$B$5*B630</f>
        <v>28911.449936964</v>
      </c>
      <c r="H630" s="29" t="n">
        <f aca="false">MAX(0,'Visitor Economics'!$B$18*B630*C630*D630)</f>
        <v>714911.272504635</v>
      </c>
      <c r="I630" s="29" t="n">
        <f aca="false">H630*Controls!$B$52</f>
        <v>1015174.00695658</v>
      </c>
      <c r="J630" s="29" t="n">
        <f aca="false">'City Fiscal'!$B$5+(H630*Controls!$B$56*Controls!$B$55)+('City Fiscal'!$B$9*B630*F630)</f>
        <v>155128.963620842</v>
      </c>
      <c r="K630" s="29" t="n">
        <f aca="false">J630-('City Fiscal'!$B$13*E630)</f>
        <v>34717.5087607882</v>
      </c>
      <c r="L630" s="30" t="n">
        <f aca="false">'Mobility &amp; Emissions'!$B$21*B630*F630</f>
        <v>92.8367779460103</v>
      </c>
    </row>
    <row r="631" customFormat="false" ht="15" hidden="false" customHeight="true" outlineLevel="0" collapsed="false">
      <c r="A631" s="14" t="n">
        <v>627</v>
      </c>
      <c r="B631" s="47" t="n">
        <v>0.86989327004843</v>
      </c>
      <c r="C631" s="47" t="n">
        <v>1.01547249165889</v>
      </c>
      <c r="D631" s="47" t="n">
        <v>1.07271139348509</v>
      </c>
      <c r="E631" s="47" t="n">
        <v>1.15990976745507</v>
      </c>
      <c r="F631" s="47" t="n">
        <v>0.990952119530002</v>
      </c>
      <c r="G631" s="27" t="n">
        <f aca="false">'Visitor Economics'!$B$5*B631</f>
        <v>28010.5632955594</v>
      </c>
      <c r="H631" s="29" t="n">
        <f aca="false">MAX(0,'Visitor Economics'!$B$18*B631*C631*D631)</f>
        <v>685664.551231824</v>
      </c>
      <c r="I631" s="29" t="n">
        <f aca="false">H631*Controls!$B$52</f>
        <v>973643.662749189</v>
      </c>
      <c r="J631" s="29" t="n">
        <f aca="false">'City Fiscal'!$B$5+(H631*Controls!$B$56*Controls!$B$55)+('City Fiscal'!$B$9*B631*F631)</f>
        <v>140868.143568795</v>
      </c>
      <c r="K631" s="29" t="n">
        <f aca="false">J631-('City Fiscal'!$B$13*E631)</f>
        <v>13278.0691487369</v>
      </c>
      <c r="L631" s="30" t="n">
        <f aca="false">'Mobility &amp; Emissions'!$B$21*B631*F631</f>
        <v>80.4540328035949</v>
      </c>
    </row>
    <row r="632" customFormat="false" ht="15" hidden="false" customHeight="true" outlineLevel="0" collapsed="false">
      <c r="A632" s="14" t="n">
        <v>628</v>
      </c>
      <c r="B632" s="47" t="n">
        <v>0.938538352582335</v>
      </c>
      <c r="C632" s="47" t="n">
        <v>1.03961343395815</v>
      </c>
      <c r="D632" s="47" t="n">
        <v>0.859743965288917</v>
      </c>
      <c r="E632" s="47" t="n">
        <v>1.02993466879129</v>
      </c>
      <c r="F632" s="47" t="n">
        <v>1.08906971196523</v>
      </c>
      <c r="G632" s="27" t="n">
        <f aca="false">'Visitor Economics'!$B$5*B632</f>
        <v>30220.9349531512</v>
      </c>
      <c r="H632" s="29" t="n">
        <f aca="false">MAX(0,'Visitor Economics'!$B$18*B632*C632*D632)</f>
        <v>606998.632866686</v>
      </c>
      <c r="I632" s="29" t="n">
        <f aca="false">H632*Controls!$B$52</f>
        <v>861938.058670693</v>
      </c>
      <c r="J632" s="29" t="n">
        <f aca="false">'City Fiscal'!$B$5+(H632*Controls!$B$56*Controls!$B$55)+('City Fiscal'!$B$9*B632*F632)</f>
        <v>157339.572986866</v>
      </c>
      <c r="K632" s="29" t="n">
        <f aca="false">J632-('City Fiscal'!$B$13*E632)</f>
        <v>44046.759419824</v>
      </c>
      <c r="L632" s="30" t="n">
        <f aca="false">'Mobility &amp; Emissions'!$B$21*B632*F632</f>
        <v>95.397475224383</v>
      </c>
    </row>
    <row r="633" customFormat="false" ht="15" hidden="false" customHeight="true" outlineLevel="0" collapsed="false">
      <c r="A633" s="14" t="n">
        <v>629</v>
      </c>
      <c r="B633" s="47" t="n">
        <v>0.923190909517752</v>
      </c>
      <c r="C633" s="47" t="n">
        <v>0.954398660707613</v>
      </c>
      <c r="D633" s="47" t="n">
        <v>0.867768445354809</v>
      </c>
      <c r="E633" s="47" t="n">
        <v>1.08721563342876</v>
      </c>
      <c r="F633" s="47" t="n">
        <v>0.999172718685422</v>
      </c>
      <c r="G633" s="27" t="n">
        <f aca="false">'Visitor Economics'!$B$5*B633</f>
        <v>29726.7472864716</v>
      </c>
      <c r="H633" s="29" t="n">
        <f aca="false">MAX(0,'Visitor Economics'!$B$18*B633*C633*D633)</f>
        <v>553248.014558103</v>
      </c>
      <c r="I633" s="29" t="n">
        <f aca="false">H633*Controls!$B$52</f>
        <v>785612.180672506</v>
      </c>
      <c r="J633" s="29" t="n">
        <f aca="false">'City Fiscal'!$B$5+(H633*Controls!$B$56*Controls!$B$55)+('City Fiscal'!$B$9*B633*F633)</f>
        <v>146416.519849052</v>
      </c>
      <c r="K633" s="29" t="n">
        <f aca="false">J633-('City Fiscal'!$B$13*E633)</f>
        <v>26822.8001718881</v>
      </c>
      <c r="L633" s="30" t="n">
        <f aca="false">'Mobility &amp; Emissions'!$B$21*B633*F633</f>
        <v>86.0916959889493</v>
      </c>
    </row>
    <row r="634" customFormat="false" ht="15" hidden="false" customHeight="true" outlineLevel="0" collapsed="false">
      <c r="A634" s="14" t="n">
        <v>630</v>
      </c>
      <c r="B634" s="47" t="n">
        <v>0.945140130911149</v>
      </c>
      <c r="C634" s="47" t="n">
        <v>1.0087974820429</v>
      </c>
      <c r="D634" s="47" t="n">
        <v>0.999155880596438</v>
      </c>
      <c r="E634" s="47" t="n">
        <v>0.873874854988204</v>
      </c>
      <c r="F634" s="47" t="n">
        <v>1.03566496599904</v>
      </c>
      <c r="G634" s="27" t="n">
        <f aca="false">'Visitor Economics'!$B$5*B634</f>
        <v>30433.512215339</v>
      </c>
      <c r="H634" s="29" t="n">
        <f aca="false">MAX(0,'Visitor Economics'!$B$18*B634*C634*D634)</f>
        <v>689331.479494983</v>
      </c>
      <c r="I634" s="29" t="n">
        <f aca="false">H634*Controls!$B$52</f>
        <v>978850.700882875</v>
      </c>
      <c r="J634" s="29" t="n">
        <f aca="false">'City Fiscal'!$B$5+(H634*Controls!$B$56*Controls!$B$55)+('City Fiscal'!$B$9*B634*F634)</f>
        <v>153282.318621477</v>
      </c>
      <c r="K634" s="29" t="n">
        <f aca="false">J634-('City Fiscal'!$B$13*E634)</f>
        <v>57156.0845727747</v>
      </c>
      <c r="L634" s="30" t="n">
        <f aca="false">'Mobility &amp; Emissions'!$B$21*B634*F634</f>
        <v>91.3575965582277</v>
      </c>
    </row>
    <row r="635" customFormat="false" ht="15" hidden="false" customHeight="true" outlineLevel="0" collapsed="false">
      <c r="A635" s="14" t="n">
        <v>631</v>
      </c>
      <c r="B635" s="47" t="n">
        <v>0.86000499984376</v>
      </c>
      <c r="C635" s="47" t="n">
        <v>1.01987008439033</v>
      </c>
      <c r="D635" s="47" t="n">
        <v>0.957440976101914</v>
      </c>
      <c r="E635" s="47" t="n">
        <v>1.1734575281298</v>
      </c>
      <c r="F635" s="47" t="n">
        <v>1.01726906916623</v>
      </c>
      <c r="G635" s="27" t="n">
        <f aca="false">'Visitor Economics'!$B$5*B635</f>
        <v>27692.1609949691</v>
      </c>
      <c r="H635" s="29" t="n">
        <f aca="false">MAX(0,'Visitor Economics'!$B$18*B635*C635*D635)</f>
        <v>607648.610121844</v>
      </c>
      <c r="I635" s="29" t="n">
        <f aca="false">H635*Controls!$B$52</f>
        <v>862861.026373019</v>
      </c>
      <c r="J635" s="29" t="n">
        <f aca="false">'City Fiscal'!$B$5+(H635*Controls!$B$56*Controls!$B$55)+('City Fiscal'!$B$9*B635*F635)</f>
        <v>141723.748293075</v>
      </c>
      <c r="K635" s="29" t="n">
        <f aca="false">J635-('City Fiscal'!$B$13*E635)</f>
        <v>12643.4201987974</v>
      </c>
      <c r="L635" s="30" t="n">
        <f aca="false">'Mobility &amp; Emissions'!$B$21*B635*F635</f>
        <v>81.6518430635475</v>
      </c>
    </row>
    <row r="636" customFormat="false" ht="15" hidden="false" customHeight="true" outlineLevel="0" collapsed="false">
      <c r="A636" s="14" t="n">
        <v>632</v>
      </c>
      <c r="B636" s="47" t="n">
        <v>0.832649786324353</v>
      </c>
      <c r="C636" s="47" t="n">
        <v>1.04688365435828</v>
      </c>
      <c r="D636" s="47" t="n">
        <v>1.15519098144164</v>
      </c>
      <c r="E636" s="47" t="n">
        <v>1.00213663037875</v>
      </c>
      <c r="F636" s="47" t="n">
        <v>0.974869932329604</v>
      </c>
      <c r="G636" s="27" t="n">
        <f aca="false">'Visitor Economics'!$B$5*B636</f>
        <v>26811.3231196442</v>
      </c>
      <c r="H636" s="29" t="n">
        <f aca="false">MAX(0,'Visitor Economics'!$B$18*B636*C636*D636)</f>
        <v>728633.698758486</v>
      </c>
      <c r="I636" s="29" t="n">
        <f aca="false">H636*Controls!$B$52</f>
        <v>1034659.85223705</v>
      </c>
      <c r="J636" s="29" t="n">
        <f aca="false">'City Fiscal'!$B$5+(H636*Controls!$B$56*Controls!$B$55)+('City Fiscal'!$B$9*B636*F636)</f>
        <v>135812.110755773</v>
      </c>
      <c r="K636" s="29" t="n">
        <f aca="false">J636-('City Fiscal'!$B$13*E636)</f>
        <v>25577.0814141101</v>
      </c>
      <c r="L636" s="30" t="n">
        <f aca="false">'Mobility &amp; Emissions'!$B$21*B636*F636</f>
        <v>75.7596966612796</v>
      </c>
    </row>
    <row r="637" customFormat="false" ht="15" hidden="false" customHeight="true" outlineLevel="0" collapsed="false">
      <c r="A637" s="14" t="n">
        <v>633</v>
      </c>
      <c r="B637" s="47" t="n">
        <v>0.912245226756961</v>
      </c>
      <c r="C637" s="47" t="n">
        <v>0.962017604542536</v>
      </c>
      <c r="D637" s="47" t="n">
        <v>0.940940050950657</v>
      </c>
      <c r="E637" s="47" t="n">
        <v>1.0224890112544</v>
      </c>
      <c r="F637" s="47" t="n">
        <v>0.915555320150236</v>
      </c>
      <c r="G637" s="27" t="n">
        <f aca="false">'Visitor Economics'!$B$5*B637</f>
        <v>29374.2963015741</v>
      </c>
      <c r="H637" s="29" t="n">
        <f aca="false">MAX(0,'Visitor Economics'!$B$18*B637*C637*D637)</f>
        <v>597518.344720322</v>
      </c>
      <c r="I637" s="29" t="n">
        <f aca="false">H637*Controls!$B$52</f>
        <v>848476.049502857</v>
      </c>
      <c r="J637" s="29" t="n">
        <f aca="false">'City Fiscal'!$B$5+(H637*Controls!$B$56*Controls!$B$55)+('City Fiscal'!$B$9*B637*F637)</f>
        <v>137453.350406046</v>
      </c>
      <c r="K637" s="29" t="n">
        <f aca="false">J637-('City Fiscal'!$B$13*E637)</f>
        <v>24979.5591680621</v>
      </c>
      <c r="L637" s="30" t="n">
        <f aca="false">'Mobility &amp; Emissions'!$B$21*B637*F637</f>
        <v>77.9516597483874</v>
      </c>
    </row>
    <row r="638" customFormat="false" ht="15" hidden="false" customHeight="true" outlineLevel="0" collapsed="false">
      <c r="A638" s="14" t="n">
        <v>634</v>
      </c>
      <c r="B638" s="47" t="n">
        <v>0.965557369644735</v>
      </c>
      <c r="C638" s="47" t="n">
        <v>1.03419790212355</v>
      </c>
      <c r="D638" s="47" t="n">
        <v>1.00628654120053</v>
      </c>
      <c r="E638" s="47" t="n">
        <v>1.02944671845561</v>
      </c>
      <c r="F638" s="47" t="n">
        <v>1.00936750019999</v>
      </c>
      <c r="G638" s="27" t="n">
        <f aca="false">'Visitor Economics'!$B$5*B638</f>
        <v>31090.9473025605</v>
      </c>
      <c r="H638" s="29" t="n">
        <f aca="false">MAX(0,'Visitor Economics'!$B$18*B638*C638*D638)</f>
        <v>727106.570490691</v>
      </c>
      <c r="I638" s="29" t="n">
        <f aca="false">H638*Controls!$B$52</f>
        <v>1032491.33009678</v>
      </c>
      <c r="J638" s="29" t="n">
        <f aca="false">'City Fiscal'!$B$5+(H638*Controls!$B$56*Controls!$B$55)+('City Fiscal'!$B$9*B638*F638)</f>
        <v>153076.74467849</v>
      </c>
      <c r="K638" s="29" t="n">
        <f aca="false">J638-('City Fiscal'!$B$13*E638)</f>
        <v>39837.6056483732</v>
      </c>
      <c r="L638" s="30" t="n">
        <f aca="false">'Mobility &amp; Emissions'!$B$21*B638*F638</f>
        <v>90.9612828095053</v>
      </c>
    </row>
    <row r="639" customFormat="false" ht="15" hidden="false" customHeight="true" outlineLevel="0" collapsed="false">
      <c r="A639" s="14" t="n">
        <v>635</v>
      </c>
      <c r="B639" s="47" t="n">
        <v>0.951677236589845</v>
      </c>
      <c r="C639" s="47" t="n">
        <v>0.863162483709814</v>
      </c>
      <c r="D639" s="47" t="n">
        <v>0.958891866779907</v>
      </c>
      <c r="E639" s="47" t="n">
        <v>0.998248983166805</v>
      </c>
      <c r="F639" s="47" t="n">
        <v>1.07790631095581</v>
      </c>
      <c r="G639" s="27" t="n">
        <f aca="false">'Visitor Economics'!$B$5*B639</f>
        <v>30644.007018193</v>
      </c>
      <c r="H639" s="29" t="n">
        <f aca="false">MAX(0,'Visitor Economics'!$B$18*B639*C639*D639)</f>
        <v>569962.840288924</v>
      </c>
      <c r="I639" s="29" t="n">
        <f aca="false">H639*Controls!$B$52</f>
        <v>809347.233210272</v>
      </c>
      <c r="J639" s="29" t="n">
        <f aca="false">'City Fiscal'!$B$5+(H639*Controls!$B$56*Controls!$B$55)+('City Fiscal'!$B$9*B639*F639)</f>
        <v>157490.429392604</v>
      </c>
      <c r="K639" s="29" t="n">
        <f aca="false">J639-('City Fiscal'!$B$13*E639)</f>
        <v>47683.0412442554</v>
      </c>
      <c r="L639" s="30" t="n">
        <f aca="false">'Mobility &amp; Emissions'!$B$21*B639*F639</f>
        <v>95.7414217650279</v>
      </c>
    </row>
    <row r="640" customFormat="false" ht="15" hidden="false" customHeight="true" outlineLevel="0" collapsed="false">
      <c r="A640" s="14" t="n">
        <v>636</v>
      </c>
      <c r="B640" s="47" t="n">
        <v>0.94791671483624</v>
      </c>
      <c r="C640" s="47" t="n">
        <v>0.976144164156077</v>
      </c>
      <c r="D640" s="47" t="n">
        <v>0.955094545888786</v>
      </c>
      <c r="E640" s="47" t="n">
        <v>1.04173034306457</v>
      </c>
      <c r="F640" s="47" t="n">
        <v>0.9360377823982</v>
      </c>
      <c r="G640" s="27" t="n">
        <f aca="false">'Visitor Economics'!$B$5*B640</f>
        <v>30522.9182177269</v>
      </c>
      <c r="H640" s="29" t="n">
        <f aca="false">MAX(0,'Visitor Economics'!$B$18*B640*C640*D640)</f>
        <v>639477.367033525</v>
      </c>
      <c r="I640" s="29" t="n">
        <f aca="false">H640*Controls!$B$52</f>
        <v>908057.861187605</v>
      </c>
      <c r="J640" s="29" t="n">
        <f aca="false">'City Fiscal'!$B$5+(H640*Controls!$B$56*Controls!$B$55)+('City Fiscal'!$B$9*B640*F640)</f>
        <v>143248.242505903</v>
      </c>
      <c r="K640" s="29" t="n">
        <f aca="false">J640-('City Fiscal'!$B$13*E640)</f>
        <v>28657.9047688003</v>
      </c>
      <c r="L640" s="30" t="n">
        <f aca="false">'Mobility &amp; Emissions'!$B$21*B640*F640</f>
        <v>82.8118976674227</v>
      </c>
    </row>
    <row r="641" customFormat="false" ht="15" hidden="false" customHeight="true" outlineLevel="0" collapsed="false">
      <c r="A641" s="14" t="n">
        <v>637</v>
      </c>
      <c r="B641" s="47" t="n">
        <v>0.911480797076988</v>
      </c>
      <c r="C641" s="47" t="n">
        <v>0.950732551417006</v>
      </c>
      <c r="D641" s="47" t="n">
        <v>1.11181986394565</v>
      </c>
      <c r="E641" s="47" t="n">
        <v>1.13201165311778</v>
      </c>
      <c r="F641" s="47" t="n">
        <v>1.0251300676704</v>
      </c>
      <c r="G641" s="27" t="n">
        <f aca="false">'Visitor Economics'!$B$5*B641</f>
        <v>29349.681665879</v>
      </c>
      <c r="H641" s="29" t="n">
        <f aca="false">MAX(0,'Visitor Economics'!$B$18*B641*C641*D641)</f>
        <v>697164.052311597</v>
      </c>
      <c r="I641" s="29" t="n">
        <f aca="false">H641*Controls!$B$52</f>
        <v>989972.954282467</v>
      </c>
      <c r="J641" s="29" t="n">
        <f aca="false">'City Fiscal'!$B$5+(H641*Controls!$B$56*Controls!$B$55)+('City Fiscal'!$B$9*B641*F641)</f>
        <v>148617.473604194</v>
      </c>
      <c r="K641" s="29" t="n">
        <f aca="false">J641-('City Fiscal'!$B$13*E641)</f>
        <v>24096.1917612377</v>
      </c>
      <c r="L641" s="30" t="n">
        <f aca="false">'Mobility &amp; Emissions'!$B$21*B641*F641</f>
        <v>87.2078684797887</v>
      </c>
    </row>
    <row r="642" customFormat="false" ht="15" hidden="false" customHeight="true" outlineLevel="0" collapsed="false">
      <c r="A642" s="14" t="n">
        <v>638</v>
      </c>
      <c r="B642" s="47" t="n">
        <v>0.908115572823916</v>
      </c>
      <c r="C642" s="47" t="n">
        <v>1.07256583509747</v>
      </c>
      <c r="D642" s="47" t="n">
        <v>1.14296612685696</v>
      </c>
      <c r="E642" s="47" t="n">
        <v>1.08105844205762</v>
      </c>
      <c r="F642" s="47" t="n">
        <v>0.938614332926452</v>
      </c>
      <c r="G642" s="27" t="n">
        <f aca="false">'Visitor Economics'!$B$5*B642</f>
        <v>29241.3214449301</v>
      </c>
      <c r="H642" s="29" t="n">
        <f aca="false">MAX(0,'Visitor Economics'!$B$18*B642*C642*D642)</f>
        <v>805551.130821726</v>
      </c>
      <c r="I642" s="29" t="n">
        <f aca="false">H642*Controls!$B$52</f>
        <v>1143882.60576685</v>
      </c>
      <c r="J642" s="29" t="n">
        <f aca="false">'City Fiscal'!$B$5+(H642*Controls!$B$56*Controls!$B$55)+('City Fiscal'!$B$9*B642*F642)</f>
        <v>140621.299098677</v>
      </c>
      <c r="K642" s="29" t="n">
        <f aca="false">J642-('City Fiscal'!$B$13*E642)</f>
        <v>21704.8704723389</v>
      </c>
      <c r="L642" s="30" t="n">
        <f aca="false">'Mobility &amp; Emissions'!$B$21*B642*F642</f>
        <v>79.5531684384381</v>
      </c>
    </row>
    <row r="643" customFormat="false" ht="15" hidden="false" customHeight="true" outlineLevel="0" collapsed="false">
      <c r="A643" s="14" t="n">
        <v>639</v>
      </c>
      <c r="B643" s="47" t="n">
        <v>0.959502066150983</v>
      </c>
      <c r="C643" s="47" t="n">
        <v>0.893300750337224</v>
      </c>
      <c r="D643" s="47" t="n">
        <v>1.09727884887809</v>
      </c>
      <c r="E643" s="47" t="n">
        <v>1.0849204737104</v>
      </c>
      <c r="F643" s="47" t="n">
        <v>0.975588614133607</v>
      </c>
      <c r="G643" s="27" t="n">
        <f aca="false">'Visitor Economics'!$B$5*B643</f>
        <v>30895.9665300617</v>
      </c>
      <c r="H643" s="29" t="n">
        <f aca="false">MAX(0,'Visitor Economics'!$B$18*B643*C643*D643)</f>
        <v>680542.559993288</v>
      </c>
      <c r="I643" s="29" t="n">
        <f aca="false">H643*Controls!$B$52</f>
        <v>966370.435190469</v>
      </c>
      <c r="J643" s="29" t="n">
        <f aca="false">'City Fiscal'!$B$5+(H643*Controls!$B$56*Controls!$B$55)+('City Fiscal'!$B$9*B643*F643)</f>
        <v>148689.315290406</v>
      </c>
      <c r="K643" s="29" t="n">
        <f aca="false">J643-('City Fiscal'!$B$13*E643)</f>
        <v>29348.0631822617</v>
      </c>
      <c r="L643" s="30" t="n">
        <f aca="false">'Mobility &amp; Emissions'!$B$21*B643*F643</f>
        <v>87.3658715614513</v>
      </c>
    </row>
    <row r="644" customFormat="false" ht="15" hidden="false" customHeight="true" outlineLevel="0" collapsed="false">
      <c r="A644" s="14" t="n">
        <v>640</v>
      </c>
      <c r="B644" s="47" t="n">
        <v>0.931343358962794</v>
      </c>
      <c r="C644" s="47" t="n">
        <v>0.907103386845748</v>
      </c>
      <c r="D644" s="47" t="n">
        <v>1.04219901347684</v>
      </c>
      <c r="E644" s="47" t="n">
        <v>1.11382456168604</v>
      </c>
      <c r="F644" s="47" t="n">
        <v>1.02387506194253</v>
      </c>
      <c r="G644" s="27" t="n">
        <f aca="false">'Visitor Economics'!$B$5*B644</f>
        <v>29989.256158602</v>
      </c>
      <c r="H644" s="29" t="n">
        <f aca="false">MAX(0,'Visitor Economics'!$B$18*B644*C644*D644)</f>
        <v>637106.356182571</v>
      </c>
      <c r="I644" s="29" t="n">
        <f aca="false">H644*Controls!$B$52</f>
        <v>904691.025779251</v>
      </c>
      <c r="J644" s="29" t="n">
        <f aca="false">'City Fiscal'!$B$5+(H644*Controls!$B$56*Controls!$B$55)+('City Fiscal'!$B$9*B644*F644)</f>
        <v>150263.871339241</v>
      </c>
      <c r="K644" s="29" t="n">
        <f aca="false">J644-('City Fiscal'!$B$13*E644)</f>
        <v>27743.1695537766</v>
      </c>
      <c r="L644" s="30" t="n">
        <f aca="false">'Mobility &amp; Emissions'!$B$21*B644*F644</f>
        <v>88.9991714930366</v>
      </c>
    </row>
    <row r="645" customFormat="false" ht="15" hidden="false" customHeight="true" outlineLevel="0" collapsed="false">
      <c r="A645" s="14" t="n">
        <v>641</v>
      </c>
      <c r="B645" s="47" t="n">
        <v>0.824335087684587</v>
      </c>
      <c r="C645" s="47" t="n">
        <v>1.01092204622381</v>
      </c>
      <c r="D645" s="47" t="n">
        <v>1.17296916201936</v>
      </c>
      <c r="E645" s="47" t="n">
        <v>1.1297554575043</v>
      </c>
      <c r="F645" s="47" t="n">
        <v>0.919552138716218</v>
      </c>
      <c r="G645" s="27" t="n">
        <f aca="false">'Visitor Economics'!$B$5*B645</f>
        <v>26543.5898234437</v>
      </c>
      <c r="H645" s="29" t="n">
        <f aca="false">MAX(0,'Visitor Economics'!$B$18*B645*C645*D645)</f>
        <v>707298.468421695</v>
      </c>
      <c r="I645" s="29" t="n">
        <f aca="false">H645*Controls!$B$52</f>
        <v>1004363.82515881</v>
      </c>
      <c r="J645" s="29" t="n">
        <f aca="false">'City Fiscal'!$B$5+(H645*Controls!$B$56*Controls!$B$55)+('City Fiscal'!$B$9*B645*F645)</f>
        <v>129977.851544394</v>
      </c>
      <c r="K645" s="29" t="n">
        <f aca="false">J645-('City Fiscal'!$B$13*E645)</f>
        <v>5704.75121892082</v>
      </c>
      <c r="L645" s="30" t="n">
        <f aca="false">'Mobility &amp; Emissions'!$B$21*B645*F645</f>
        <v>70.7472105727387</v>
      </c>
    </row>
    <row r="646" customFormat="false" ht="15" hidden="false" customHeight="true" outlineLevel="0" collapsed="false">
      <c r="A646" s="14" t="n">
        <v>642</v>
      </c>
      <c r="B646" s="47" t="n">
        <v>0.883934594818087</v>
      </c>
      <c r="C646" s="47" t="n">
        <v>1.00544870144778</v>
      </c>
      <c r="D646" s="47" t="n">
        <v>1.0293107388204</v>
      </c>
      <c r="E646" s="47" t="n">
        <v>1.00322327905574</v>
      </c>
      <c r="F646" s="47" t="n">
        <v>1.12358977470751</v>
      </c>
      <c r="G646" s="27" t="n">
        <f aca="false">'Visitor Economics'!$B$5*B646</f>
        <v>28462.6939531424</v>
      </c>
      <c r="H646" s="29" t="n">
        <f aca="false">MAX(0,'Visitor Economics'!$B$18*B646*C646*D646)</f>
        <v>661943.957756386</v>
      </c>
      <c r="I646" s="29" t="n">
        <f aca="false">H646*Controls!$B$52</f>
        <v>939960.420014068</v>
      </c>
      <c r="J646" s="29" t="n">
        <f aca="false">'City Fiscal'!$B$5+(H646*Controls!$B$56*Controls!$B$55)+('City Fiscal'!$B$9*B646*F646)</f>
        <v>154624.812622026</v>
      </c>
      <c r="K646" s="29" t="n">
        <f aca="false">J646-('City Fiscal'!$B$13*E646)</f>
        <v>44270.2519258944</v>
      </c>
      <c r="L646" s="30" t="n">
        <f aca="false">'Mobility &amp; Emissions'!$B$21*B646*F646</f>
        <v>92.6951658826727</v>
      </c>
    </row>
    <row r="647" customFormat="false" ht="15" hidden="false" customHeight="true" outlineLevel="0" collapsed="false">
      <c r="A647" s="14" t="n">
        <v>643</v>
      </c>
      <c r="B647" s="47" t="n">
        <v>0.933953500942804</v>
      </c>
      <c r="C647" s="47" t="n">
        <v>0.922484145115232</v>
      </c>
      <c r="D647" s="47" t="n">
        <v>0.929273909307689</v>
      </c>
      <c r="E647" s="47" t="n">
        <v>1.10540141771096</v>
      </c>
      <c r="F647" s="47" t="n">
        <v>1.05644520322292</v>
      </c>
      <c r="G647" s="27" t="n">
        <f aca="false">'Visitor Economics'!$B$5*B647</f>
        <v>30073.3027303583</v>
      </c>
      <c r="H647" s="29" t="n">
        <f aca="false">MAX(0,'Visitor Economics'!$B$18*B647*C647*D647)</f>
        <v>579325.411059998</v>
      </c>
      <c r="I647" s="29" t="n">
        <f aca="false">H647*Controls!$B$52</f>
        <v>822642.083705197</v>
      </c>
      <c r="J647" s="29" t="n">
        <f aca="false">'City Fiscal'!$B$5+(H647*Controls!$B$56*Controls!$B$55)+('City Fiscal'!$B$9*B647*F647)</f>
        <v>153399.089354118</v>
      </c>
      <c r="K647" s="29" t="n">
        <f aca="false">J647-('City Fiscal'!$B$13*E647)</f>
        <v>31804.9334059128</v>
      </c>
      <c r="L647" s="30" t="n">
        <f aca="false">'Mobility &amp; Emissions'!$B$21*B647*F647</f>
        <v>92.0876534075957</v>
      </c>
    </row>
    <row r="648" customFormat="false" ht="15" hidden="false" customHeight="true" outlineLevel="0" collapsed="false">
      <c r="A648" s="14" t="n">
        <v>644</v>
      </c>
      <c r="B648" s="47" t="n">
        <v>0.916619178741493</v>
      </c>
      <c r="C648" s="47" t="n">
        <v>0.930104495821015</v>
      </c>
      <c r="D648" s="47" t="n">
        <v>0.94755029095767</v>
      </c>
      <c r="E648" s="47" t="n">
        <v>1.14200115741361</v>
      </c>
      <c r="F648" s="47" t="n">
        <v>1.04382796978488</v>
      </c>
      <c r="G648" s="27" t="n">
        <f aca="false">'Visitor Economics'!$B$5*B648</f>
        <v>29515.1375554761</v>
      </c>
      <c r="H648" s="29" t="n">
        <f aca="false">MAX(0,'Visitor Economics'!$B$18*B648*C648*D648)</f>
        <v>584544.558969768</v>
      </c>
      <c r="I648" s="29" t="n">
        <f aca="false">H648*Controls!$B$52</f>
        <v>830053.273737071</v>
      </c>
      <c r="J648" s="29" t="n">
        <f aca="false">'City Fiscal'!$B$5+(H648*Controls!$B$56*Controls!$B$55)+('City Fiscal'!$B$9*B648*F648)</f>
        <v>150264.09037502</v>
      </c>
      <c r="K648" s="29" t="n">
        <f aca="false">J648-('City Fiscal'!$B$13*E648)</f>
        <v>24643.9630595225</v>
      </c>
      <c r="L648" s="30" t="n">
        <f aca="false">'Mobility &amp; Emissions'!$B$21*B648*F648</f>
        <v>89.2990926369481</v>
      </c>
    </row>
    <row r="649" customFormat="false" ht="15" hidden="false" customHeight="true" outlineLevel="0" collapsed="false">
      <c r="A649" s="14" t="n">
        <v>645</v>
      </c>
      <c r="B649" s="47" t="n">
        <v>0.921227534201074</v>
      </c>
      <c r="C649" s="47" t="n">
        <v>0.959524191450802</v>
      </c>
      <c r="D649" s="47" t="n">
        <v>1.03064583432266</v>
      </c>
      <c r="E649" s="47" t="n">
        <v>0.958407008493067</v>
      </c>
      <c r="F649" s="47" t="n">
        <v>1.03410133736751</v>
      </c>
      <c r="G649" s="27" t="n">
        <f aca="false">'Visitor Economics'!$B$5*B649</f>
        <v>29663.5266012746</v>
      </c>
      <c r="H649" s="29" t="n">
        <f aca="false">MAX(0,'Visitor Economics'!$B$18*B649*C649*D649)</f>
        <v>659214.817084413</v>
      </c>
      <c r="I649" s="29" t="n">
        <f aca="false">H649*Controls!$B$52</f>
        <v>936085.040259866</v>
      </c>
      <c r="J649" s="29" t="n">
        <f aca="false">'City Fiscal'!$B$5+(H649*Controls!$B$56*Controls!$B$55)+('City Fiscal'!$B$9*B649*F649)</f>
        <v>150307.798033467</v>
      </c>
      <c r="K649" s="29" t="n">
        <f aca="false">J649-('City Fiscal'!$B$13*E649)</f>
        <v>44883.0270992295</v>
      </c>
      <c r="L649" s="30" t="n">
        <f aca="false">'Mobility &amp; Emissions'!$B$21*B649*F649</f>
        <v>88.9117556965087</v>
      </c>
    </row>
    <row r="650" customFormat="false" ht="15" hidden="false" customHeight="true" outlineLevel="0" collapsed="false">
      <c r="A650" s="14" t="n">
        <v>646</v>
      </c>
      <c r="B650" s="47" t="n">
        <v>0.957550020016016</v>
      </c>
      <c r="C650" s="47" t="n">
        <v>1.00326954124994</v>
      </c>
      <c r="D650" s="47" t="n">
        <v>0.84934046437687</v>
      </c>
      <c r="E650" s="47" t="n">
        <v>0.975024836719798</v>
      </c>
      <c r="F650" s="47" t="n">
        <v>0.889401776609691</v>
      </c>
      <c r="G650" s="27" t="n">
        <f aca="false">'Visitor Economics'!$B$5*B650</f>
        <v>30833.1106445157</v>
      </c>
      <c r="H650" s="29" t="n">
        <f aca="false">MAX(0,'Visitor Economics'!$B$18*B650*C650*D650)</f>
        <v>590412.55219281</v>
      </c>
      <c r="I650" s="29" t="n">
        <f aca="false">H650*Controls!$B$52</f>
        <v>838385.82411379</v>
      </c>
      <c r="J650" s="29" t="n">
        <f aca="false">'City Fiscal'!$B$5+(H650*Controls!$B$56*Controls!$B$55)+('City Fiscal'!$B$9*B650*F650)</f>
        <v>139150.456614646</v>
      </c>
      <c r="K650" s="29" t="n">
        <f aca="false">J650-('City Fiscal'!$B$13*E650)</f>
        <v>31897.7245754684</v>
      </c>
      <c r="L650" s="30" t="n">
        <f aca="false">'Mobility &amp; Emissions'!$B$21*B650*F650</f>
        <v>79.4856332832644</v>
      </c>
    </row>
    <row r="651" customFormat="false" ht="15" hidden="false" customHeight="true" outlineLevel="0" collapsed="false">
      <c r="A651" s="14" t="n">
        <v>647</v>
      </c>
      <c r="B651" s="47" t="n">
        <v>0.866463865284869</v>
      </c>
      <c r="C651" s="47" t="n">
        <v>0.932769676775275</v>
      </c>
      <c r="D651" s="47" t="n">
        <v>0.872918781739754</v>
      </c>
      <c r="E651" s="47" t="n">
        <v>1.07604239022107</v>
      </c>
      <c r="F651" s="47" t="n">
        <v>0.908288077683176</v>
      </c>
      <c r="G651" s="27" t="n">
        <f aca="false">'Visitor Economics'!$B$5*B651</f>
        <v>27900.1364621728</v>
      </c>
      <c r="H651" s="29" t="n">
        <f aca="false">MAX(0,'Visitor Economics'!$B$18*B651*C651*D651)</f>
        <v>510497.221238607</v>
      </c>
      <c r="I651" s="29" t="n">
        <f aca="false">H651*Controls!$B$52</f>
        <v>724906.054158822</v>
      </c>
      <c r="J651" s="29" t="n">
        <f aca="false">'City Fiscal'!$B$5+(H651*Controls!$B$56*Controls!$B$55)+('City Fiscal'!$B$9*B651*F651)</f>
        <v>131776.130822685</v>
      </c>
      <c r="K651" s="29" t="n">
        <f aca="false">J651-('City Fiscal'!$B$13*E651)</f>
        <v>13411.4678983671</v>
      </c>
      <c r="L651" s="30" t="n">
        <f aca="false">'Mobility &amp; Emissions'!$B$21*B651*F651</f>
        <v>73.4519357695716</v>
      </c>
    </row>
    <row r="652" customFormat="false" ht="15" hidden="false" customHeight="true" outlineLevel="0" collapsed="false">
      <c r="A652" s="14" t="n">
        <v>648</v>
      </c>
      <c r="B652" s="47" t="n">
        <v>0.880983166914095</v>
      </c>
      <c r="C652" s="47" t="n">
        <v>0.945892811550144</v>
      </c>
      <c r="D652" s="47" t="n">
        <v>0.835229521091532</v>
      </c>
      <c r="E652" s="47" t="n">
        <v>1.12579754430769</v>
      </c>
      <c r="F652" s="47" t="n">
        <v>1.10280360183234</v>
      </c>
      <c r="G652" s="27" t="n">
        <f aca="false">'Visitor Economics'!$B$5*B652</f>
        <v>28367.6579746339</v>
      </c>
      <c r="H652" s="29" t="n">
        <f aca="false">MAX(0,'Visitor Economics'!$B$18*B652*C652*D652)</f>
        <v>503628.201242729</v>
      </c>
      <c r="I652" s="29" t="n">
        <f aca="false">H652*Controls!$B$52</f>
        <v>715152.045764676</v>
      </c>
      <c r="J652" s="29" t="n">
        <f aca="false">'City Fiscal'!$B$5+(H652*Controls!$B$56*Controls!$B$55)+('City Fiscal'!$B$9*B652*F652)</f>
        <v>151305.03880978</v>
      </c>
      <c r="K652" s="29" t="n">
        <f aca="false">J652-('City Fiscal'!$B$13*E652)</f>
        <v>27467.3089359343</v>
      </c>
      <c r="L652" s="30" t="n">
        <f aca="false">'Mobility &amp; Emissions'!$B$21*B652*F652</f>
        <v>90.67654469784</v>
      </c>
    </row>
    <row r="653" customFormat="false" ht="15" hidden="false" customHeight="true" outlineLevel="0" collapsed="false">
      <c r="A653" s="14" t="n">
        <v>649</v>
      </c>
      <c r="B653" s="47" t="n">
        <v>0.937513637490795</v>
      </c>
      <c r="C653" s="47" t="n">
        <v>0.985707573755698</v>
      </c>
      <c r="D653" s="47" t="n">
        <v>1.1325</v>
      </c>
      <c r="E653" s="47" t="n">
        <v>0.999977498593574</v>
      </c>
      <c r="F653" s="47" t="n">
        <v>0.936559228277521</v>
      </c>
      <c r="G653" s="27" t="n">
        <f aca="false">'Visitor Economics'!$B$5*B653</f>
        <v>30187.9391272036</v>
      </c>
      <c r="H653" s="29" t="n">
        <f aca="false">MAX(0,'Visitor Economics'!$B$18*B653*C653*D653)</f>
        <v>757283.627804807</v>
      </c>
      <c r="I653" s="29" t="n">
        <f aca="false">H653*Controls!$B$52</f>
        <v>1075342.75148283</v>
      </c>
      <c r="J653" s="29" t="n">
        <f aca="false">'City Fiscal'!$B$5+(H653*Controls!$B$56*Controls!$B$55)+('City Fiscal'!$B$9*B653*F653)</f>
        <v>143030.709760565</v>
      </c>
      <c r="K653" s="29" t="n">
        <f aca="false">J653-('City Fiscal'!$B$13*E653)</f>
        <v>33033.1849152719</v>
      </c>
      <c r="L653" s="30" t="n">
        <f aca="false">'Mobility &amp; Emissions'!$B$21*B653*F653</f>
        <v>81.9486904301031</v>
      </c>
    </row>
    <row r="654" customFormat="false" ht="15" hidden="false" customHeight="true" outlineLevel="0" collapsed="false">
      <c r="A654" s="14" t="n">
        <v>650</v>
      </c>
      <c r="B654" s="47" t="n">
        <v>0.852976708613091</v>
      </c>
      <c r="C654" s="47" t="n">
        <v>1.00311544156733</v>
      </c>
      <c r="D654" s="47" t="n">
        <v>1.02719122548697</v>
      </c>
      <c r="E654" s="47" t="n">
        <v>0.893869479489164</v>
      </c>
      <c r="F654" s="47" t="n">
        <v>0.951845471180608</v>
      </c>
      <c r="G654" s="27" t="n">
        <f aca="false">'Visitor Economics'!$B$5*B654</f>
        <v>27465.8500173415</v>
      </c>
      <c r="H654" s="29" t="n">
        <f aca="false">MAX(0,'Visitor Economics'!$B$18*B654*C654*D654)</f>
        <v>635966.235377611</v>
      </c>
      <c r="I654" s="29" t="n">
        <f aca="false">H654*Controls!$B$52</f>
        <v>903072.054236207</v>
      </c>
      <c r="J654" s="29" t="n">
        <f aca="false">'City Fiscal'!$B$5+(H654*Controls!$B$56*Controls!$B$55)+('City Fiscal'!$B$9*B654*F654)</f>
        <v>135230.374263039</v>
      </c>
      <c r="K654" s="29" t="n">
        <f aca="false">J654-('City Fiscal'!$B$13*E654)</f>
        <v>36904.7315192311</v>
      </c>
      <c r="L654" s="30" t="n">
        <f aca="false">'Mobility &amp; Emissions'!$B$21*B654*F654</f>
        <v>75.7761954908572</v>
      </c>
    </row>
    <row r="655" customFormat="false" ht="15" hidden="false" customHeight="true" outlineLevel="0" collapsed="false">
      <c r="A655" s="14" t="n">
        <v>651</v>
      </c>
      <c r="B655" s="47" t="n">
        <v>0.909420245711403</v>
      </c>
      <c r="C655" s="47" t="n">
        <v>0.872220685556588</v>
      </c>
      <c r="D655" s="47" t="n">
        <v>0.969009788106331</v>
      </c>
      <c r="E655" s="47" t="n">
        <v>1.06208046934925</v>
      </c>
      <c r="F655" s="47" t="n">
        <v>1.01441792153828</v>
      </c>
      <c r="G655" s="27" t="n">
        <f aca="false">'Visitor Economics'!$B$5*B655</f>
        <v>29283.3319119072</v>
      </c>
      <c r="H655" s="29" t="n">
        <f aca="false">MAX(0,'Visitor Economics'!$B$18*B655*C655*D655)</f>
        <v>556178.035812195</v>
      </c>
      <c r="I655" s="29" t="n">
        <f aca="false">H655*Controls!$B$52</f>
        <v>789772.810853316</v>
      </c>
      <c r="J655" s="29" t="n">
        <f aca="false">'City Fiscal'!$B$5+(H655*Controls!$B$56*Controls!$B$55)+('City Fiscal'!$B$9*B655*F655)</f>
        <v>146446.645157242</v>
      </c>
      <c r="K655" s="29" t="n">
        <f aca="false">J655-('City Fiscal'!$B$13*E655)</f>
        <v>29617.7935288245</v>
      </c>
      <c r="L655" s="30" t="n">
        <f aca="false">'Mobility &amp; Emissions'!$B$21*B655*F655</f>
        <v>86.1014981069575</v>
      </c>
    </row>
    <row r="656" customFormat="false" ht="15" hidden="false" customHeight="true" outlineLevel="0" collapsed="false">
      <c r="A656" s="14" t="n">
        <v>652</v>
      </c>
      <c r="B656" s="47" t="n">
        <v>0.918330040121443</v>
      </c>
      <c r="C656" s="47" t="n">
        <v>1.02041084396381</v>
      </c>
      <c r="D656" s="47" t="n">
        <v>1.09161360538228</v>
      </c>
      <c r="E656" s="47" t="n">
        <v>1.00651232064024</v>
      </c>
      <c r="F656" s="47" t="n">
        <v>1.0647503665697</v>
      </c>
      <c r="G656" s="27" t="n">
        <f aca="false">'Visitor Economics'!$B$5*B656</f>
        <v>29570.2272919105</v>
      </c>
      <c r="H656" s="29" t="n">
        <f aca="false">MAX(0,'Visitor Economics'!$B$18*B656*C656*D656)</f>
        <v>740180.203928455</v>
      </c>
      <c r="I656" s="29" t="n">
        <f aca="false">H656*Controls!$B$52</f>
        <v>1051055.88957841</v>
      </c>
      <c r="J656" s="29" t="n">
        <f aca="false">'City Fiscal'!$B$5+(H656*Controls!$B$56*Controls!$B$55)+('City Fiscal'!$B$9*B656*F656)</f>
        <v>153499.791182194</v>
      </c>
      <c r="K656" s="29" t="n">
        <f aca="false">J656-('City Fiscal'!$B$13*E656)</f>
        <v>42783.4359117675</v>
      </c>
      <c r="L656" s="30" t="n">
        <f aca="false">'Mobility &amp; Emissions'!$B$21*B656*F656</f>
        <v>91.2590126454491</v>
      </c>
    </row>
    <row r="657" customFormat="false" ht="15" hidden="false" customHeight="true" outlineLevel="0" collapsed="false">
      <c r="A657" s="14" t="n">
        <v>653</v>
      </c>
      <c r="B657" s="47" t="n">
        <v>0.970401612929451</v>
      </c>
      <c r="C657" s="47" t="n">
        <v>0.841424285285629</v>
      </c>
      <c r="D657" s="47" t="n">
        <v>1.04418758540846</v>
      </c>
      <c r="E657" s="47" t="n">
        <v>0.948849912689144</v>
      </c>
      <c r="F657" s="47" t="n">
        <v>1.03825251680687</v>
      </c>
      <c r="G657" s="27" t="n">
        <f aca="false">'Visitor Economics'!$B$5*B657</f>
        <v>31246.9319363283</v>
      </c>
      <c r="H657" s="29" t="n">
        <f aca="false">MAX(0,'Visitor Economics'!$B$18*B657*C657*D657)</f>
        <v>616935.480009898</v>
      </c>
      <c r="I657" s="29" t="n">
        <f aca="false">H657*Controls!$B$52</f>
        <v>876048.381614056</v>
      </c>
      <c r="J657" s="29" t="n">
        <f aca="false">'City Fiscal'!$B$5+(H657*Controls!$B$56*Controls!$B$55)+('City Fiscal'!$B$9*B657*F657)</f>
        <v>155854.257018454</v>
      </c>
      <c r="K657" s="29" t="n">
        <f aca="false">J657-('City Fiscal'!$B$13*E657)</f>
        <v>51480.766622648</v>
      </c>
      <c r="L657" s="30" t="n">
        <f aca="false">'Mobility &amp; Emissions'!$B$21*B657*F657</f>
        <v>94.0337332950309</v>
      </c>
    </row>
    <row r="658" customFormat="false" ht="15" hidden="false" customHeight="true" outlineLevel="0" collapsed="false">
      <c r="A658" s="14" t="n">
        <v>654</v>
      </c>
      <c r="B658" s="47" t="n">
        <v>0.87913626985115</v>
      </c>
      <c r="C658" s="47" t="n">
        <v>0.943292335528207</v>
      </c>
      <c r="D658" s="47" t="n">
        <v>0.914709687847608</v>
      </c>
      <c r="E658" s="47" t="n">
        <v>1.0118692585994</v>
      </c>
      <c r="F658" s="47" t="n">
        <v>0.981538967610363</v>
      </c>
      <c r="G658" s="27" t="n">
        <f aca="false">'Visitor Economics'!$B$5*B658</f>
        <v>28308.187889207</v>
      </c>
      <c r="H658" s="29" t="n">
        <f aca="false">MAX(0,'Visitor Economics'!$B$18*B658*C658*D658)</f>
        <v>548883.8490872</v>
      </c>
      <c r="I658" s="29" t="n">
        <f aca="false">H658*Controls!$B$52</f>
        <v>779415.065703824</v>
      </c>
      <c r="J658" s="29" t="n">
        <f aca="false">'City Fiscal'!$B$5+(H658*Controls!$B$56*Controls!$B$55)+('City Fiscal'!$B$9*B658*F658)</f>
        <v>140075.552809397</v>
      </c>
      <c r="K658" s="29" t="n">
        <f aca="false">J658-('City Fiscal'!$B$13*E658)</f>
        <v>28769.9343634631</v>
      </c>
      <c r="L658" s="30" t="n">
        <f aca="false">'Mobility &amp; Emissions'!$B$21*B658*F658</f>
        <v>80.5365312112346</v>
      </c>
    </row>
    <row r="659" customFormat="false" ht="15" hidden="false" customHeight="true" outlineLevel="0" collapsed="false">
      <c r="A659" s="14" t="n">
        <v>655</v>
      </c>
      <c r="B659" s="47" t="n">
        <v>0.905063184031113</v>
      </c>
      <c r="C659" s="47" t="n">
        <v>0.967976349461662</v>
      </c>
      <c r="D659" s="47" t="n">
        <v>1.09124311038572</v>
      </c>
      <c r="E659" s="47" t="n">
        <v>0.866135669497689</v>
      </c>
      <c r="F659" s="47" t="n">
        <v>1.00920759963691</v>
      </c>
      <c r="G659" s="27" t="n">
        <f aca="false">'Visitor Economics'!$B$5*B659</f>
        <v>29143.0345258018</v>
      </c>
      <c r="H659" s="29" t="n">
        <f aca="false">MAX(0,'Visitor Economics'!$B$18*B659*C659*D659)</f>
        <v>691766.982759793</v>
      </c>
      <c r="I659" s="29" t="n">
        <f aca="false">H659*Controls!$B$52</f>
        <v>982309.115518906</v>
      </c>
      <c r="J659" s="29" t="n">
        <f aca="false">'City Fiscal'!$B$5+(H659*Controls!$B$56*Controls!$B$55)+('City Fiscal'!$B$9*B659*F659)</f>
        <v>146356.35630952</v>
      </c>
      <c r="K659" s="29" t="n">
        <f aca="false">J659-('City Fiscal'!$B$13*E659)</f>
        <v>51081.4326647744</v>
      </c>
      <c r="L659" s="30" t="n">
        <f aca="false">'Mobility &amp; Emissions'!$B$21*B659*F659</f>
        <v>85.2488615098883</v>
      </c>
    </row>
    <row r="660" customFormat="false" ht="15" hidden="false" customHeight="true" outlineLevel="0" collapsed="false">
      <c r="A660" s="14" t="n">
        <v>656</v>
      </c>
      <c r="B660" s="47" t="n">
        <v>1.00338675227416</v>
      </c>
      <c r="C660" s="47" t="n">
        <v>0.854856850115867</v>
      </c>
      <c r="D660" s="47" t="n">
        <v>1.03171979017785</v>
      </c>
      <c r="E660" s="47" t="n">
        <v>1.20305588428781</v>
      </c>
      <c r="F660" s="47" t="n">
        <v>0.9771908015542</v>
      </c>
      <c r="G660" s="27" t="n">
        <f aca="false">'Visitor Economics'!$B$5*B660</f>
        <v>32309.053423228</v>
      </c>
      <c r="H660" s="29" t="n">
        <f aca="false">MAX(0,'Visitor Economics'!$B$18*B660*C660*D660)</f>
        <v>640351.143748854</v>
      </c>
      <c r="I660" s="29" t="n">
        <f aca="false">H660*Controls!$B$52</f>
        <v>909298.624123373</v>
      </c>
      <c r="J660" s="29" t="n">
        <f aca="false">'City Fiscal'!$B$5+(H660*Controls!$B$56*Controls!$B$55)+('City Fiscal'!$B$9*B660*F660)</f>
        <v>153140.112105102</v>
      </c>
      <c r="K660" s="29" t="n">
        <f aca="false">J660-('City Fiscal'!$B$13*E660)</f>
        <v>20803.9648334431</v>
      </c>
      <c r="L660" s="30" t="n">
        <f aca="false">'Mobility &amp; Emissions'!$B$21*B660*F660</f>
        <v>91.5117602903765</v>
      </c>
    </row>
    <row r="661" customFormat="false" ht="15" hidden="false" customHeight="true" outlineLevel="0" collapsed="false">
      <c r="A661" s="14" t="n">
        <v>657</v>
      </c>
      <c r="B661" s="47" t="n">
        <v>0.895858534428846</v>
      </c>
      <c r="C661" s="47" t="n">
        <v>1.00895946686007</v>
      </c>
      <c r="D661" s="47" t="n">
        <v>1.03497383880095</v>
      </c>
      <c r="E661" s="47" t="n">
        <v>0.939500209204838</v>
      </c>
      <c r="F661" s="47" t="n">
        <v>1.03449026015093</v>
      </c>
      <c r="G661" s="27" t="n">
        <f aca="false">'Visitor Economics'!$B$5*B661</f>
        <v>28846.6448086088</v>
      </c>
      <c r="H661" s="29" t="n">
        <f aca="false">MAX(0,'Visitor Economics'!$B$18*B661*C661*D661)</f>
        <v>676919.767674847</v>
      </c>
      <c r="I661" s="29" t="n">
        <f aca="false">H661*Controls!$B$52</f>
        <v>961226.070098283</v>
      </c>
      <c r="J661" s="29" t="n">
        <f aca="false">'City Fiscal'!$B$5+(H661*Controls!$B$56*Controls!$B$55)+('City Fiscal'!$B$9*B661*F661)</f>
        <v>147677.121468084</v>
      </c>
      <c r="K661" s="29" t="n">
        <f aca="false">J661-('City Fiscal'!$B$13*E661)</f>
        <v>44332.098455552</v>
      </c>
      <c r="L661" s="30" t="n">
        <f aca="false">'Mobility &amp; Emissions'!$B$21*B661*F661</f>
        <v>86.495799608725</v>
      </c>
    </row>
    <row r="662" customFormat="false" ht="15" hidden="false" customHeight="true" outlineLevel="0" collapsed="false">
      <c r="A662" s="14" t="n">
        <v>658</v>
      </c>
      <c r="B662" s="47" t="n">
        <v>0.789165151389912</v>
      </c>
      <c r="C662" s="47" t="n">
        <v>0.947808450424845</v>
      </c>
      <c r="D662" s="47" t="n">
        <v>0.913553360122462</v>
      </c>
      <c r="E662" s="47" t="n">
        <v>1.03214396955788</v>
      </c>
      <c r="F662" s="47" t="n">
        <v>1.04618526116201</v>
      </c>
      <c r="G662" s="27" t="n">
        <f aca="false">'Visitor Economics'!$B$5*B662</f>
        <v>25411.1178747552</v>
      </c>
      <c r="H662" s="29" t="n">
        <f aca="false">MAX(0,'Visitor Economics'!$B$18*B662*C662*D662)</f>
        <v>494443.946752364</v>
      </c>
      <c r="I662" s="29" t="n">
        <f aca="false">H662*Controls!$B$52</f>
        <v>702110.404388357</v>
      </c>
      <c r="J662" s="29" t="n">
        <f aca="false">'City Fiscal'!$B$5+(H662*Controls!$B$56*Controls!$B$55)+('City Fiscal'!$B$9*B662*F662)</f>
        <v>135767.47423649</v>
      </c>
      <c r="K662" s="29" t="n">
        <f aca="false">J662-('City Fiscal'!$B$13*E662)</f>
        <v>22231.6375851235</v>
      </c>
      <c r="L662" s="30" t="n">
        <f aca="false">'Mobility &amp; Emissions'!$B$21*B662*F662</f>
        <v>77.0558601661508</v>
      </c>
    </row>
    <row r="663" customFormat="false" ht="15" hidden="false" customHeight="true" outlineLevel="0" collapsed="false">
      <c r="A663" s="14" t="n">
        <v>659</v>
      </c>
      <c r="B663" s="47" t="n">
        <v>0.9678080465972</v>
      </c>
      <c r="C663" s="47" t="n">
        <v>0.998266654200947</v>
      </c>
      <c r="D663" s="47" t="n">
        <v>1.04909890493081</v>
      </c>
      <c r="E663" s="47" t="n">
        <v>1.04432732315643</v>
      </c>
      <c r="F663" s="47" t="n">
        <v>0.988048904378122</v>
      </c>
      <c r="G663" s="27" t="n">
        <f aca="false">'Visitor Economics'!$B$5*B663</f>
        <v>31163.4191004298</v>
      </c>
      <c r="H663" s="29" t="n">
        <f aca="false">MAX(0,'Visitor Economics'!$B$18*B663*C663*D663)</f>
        <v>733410.116456355</v>
      </c>
      <c r="I663" s="29" t="n">
        <f aca="false">H663*Controls!$B$52</f>
        <v>1041442.36536802</v>
      </c>
      <c r="J663" s="29" t="n">
        <f aca="false">'City Fiscal'!$B$5+(H663*Controls!$B$56*Controls!$B$55)+('City Fiscal'!$B$9*B663*F663)</f>
        <v>151170.294842744</v>
      </c>
      <c r="K663" s="29" t="n">
        <f aca="false">J663-('City Fiscal'!$B$13*E663)</f>
        <v>36294.2892955367</v>
      </c>
      <c r="L663" s="30" t="n">
        <f aca="false">'Mobility &amp; Emissions'!$B$21*B663*F663</f>
        <v>89.247661613534</v>
      </c>
    </row>
    <row r="664" customFormat="false" ht="15" hidden="false" customHeight="true" outlineLevel="0" collapsed="false">
      <c r="A664" s="14" t="n">
        <v>660</v>
      </c>
      <c r="B664" s="47" t="n">
        <v>0.855243604379376</v>
      </c>
      <c r="C664" s="47" t="n">
        <v>1.01738421174108</v>
      </c>
      <c r="D664" s="47" t="n">
        <v>1.17071412483929</v>
      </c>
      <c r="E664" s="47" t="n">
        <v>0.945810571892826</v>
      </c>
      <c r="F664" s="47" t="n">
        <v>0.937592807923939</v>
      </c>
      <c r="G664" s="27" t="n">
        <f aca="false">'Visitor Economics'!$B$5*B664</f>
        <v>27538.8440610159</v>
      </c>
      <c r="H664" s="29" t="n">
        <f aca="false">MAX(0,'Visitor Economics'!$B$18*B664*C664*D664)</f>
        <v>737089.724152438</v>
      </c>
      <c r="I664" s="29" t="n">
        <f aca="false">H664*Controls!$B$52</f>
        <v>1046667.40829646</v>
      </c>
      <c r="J664" s="29" t="n">
        <f aca="false">'City Fiscal'!$B$5+(H664*Controls!$B$56*Controls!$B$55)+('City Fiscal'!$B$9*B664*F664)</f>
        <v>134821.698053681</v>
      </c>
      <c r="K664" s="29" t="n">
        <f aca="false">J664-('City Fiscal'!$B$13*E664)</f>
        <v>30782.5351454699</v>
      </c>
      <c r="L664" s="30" t="n">
        <f aca="false">'Mobility &amp; Emissions'!$B$21*B664*F664</f>
        <v>74.8399138442322</v>
      </c>
    </row>
    <row r="665" customFormat="false" ht="15" hidden="false" customHeight="true" outlineLevel="0" collapsed="false">
      <c r="A665" s="14" t="n">
        <v>661</v>
      </c>
      <c r="B665" s="47" t="n">
        <v>0.938833504449188</v>
      </c>
      <c r="C665" s="47" t="n">
        <v>1.03050139665894</v>
      </c>
      <c r="D665" s="47" t="n">
        <v>0.879371525096478</v>
      </c>
      <c r="E665" s="47" t="n">
        <v>1.11147653628356</v>
      </c>
      <c r="F665" s="47" t="n">
        <v>1.07821908331597</v>
      </c>
      <c r="G665" s="27" t="n">
        <f aca="false">'Visitor Economics'!$B$5*B665</f>
        <v>30230.4388432639</v>
      </c>
      <c r="H665" s="29" t="n">
        <f aca="false">MAX(0,'Visitor Economics'!$B$18*B665*C665*D665)</f>
        <v>615607.96875385</v>
      </c>
      <c r="I665" s="29" t="n">
        <f aca="false">H665*Controls!$B$52</f>
        <v>874163.315630466</v>
      </c>
      <c r="J665" s="29" t="n">
        <f aca="false">'City Fiscal'!$B$5+(H665*Controls!$B$56*Controls!$B$55)+('City Fiscal'!$B$9*B665*F665)</f>
        <v>156349.039652981</v>
      </c>
      <c r="K665" s="29" t="n">
        <f aca="false">J665-('City Fiscal'!$B$13*E665)</f>
        <v>34086.6206617893</v>
      </c>
      <c r="L665" s="30" t="n">
        <f aca="false">'Mobility &amp; Emissions'!$B$21*B665*F665</f>
        <v>94.4767120136013</v>
      </c>
    </row>
    <row r="666" customFormat="false" ht="15" hidden="false" customHeight="true" outlineLevel="0" collapsed="false">
      <c r="A666" s="14" t="n">
        <v>662</v>
      </c>
      <c r="B666" s="47" t="n">
        <v>0.964035725681467</v>
      </c>
      <c r="C666" s="47" t="n">
        <v>1.02870925567178</v>
      </c>
      <c r="D666" s="47" t="n">
        <v>1.01916185323912</v>
      </c>
      <c r="E666" s="47" t="n">
        <v>0.914958411949653</v>
      </c>
      <c r="F666" s="47" t="n">
        <v>0.992065125910619</v>
      </c>
      <c r="G666" s="27" t="n">
        <f aca="false">'Visitor Economics'!$B$5*B666</f>
        <v>31041.9503669432</v>
      </c>
      <c r="H666" s="29" t="n">
        <f aca="false">MAX(0,'Visitor Economics'!$B$18*B666*C666*D666)</f>
        <v>731347.203789195</v>
      </c>
      <c r="I666" s="29" t="n">
        <f aca="false">H666*Controls!$B$52</f>
        <v>1038513.02938066</v>
      </c>
      <c r="J666" s="29" t="n">
        <f aca="false">'City Fiscal'!$B$5+(H666*Controls!$B$56*Controls!$B$55)+('City Fiscal'!$B$9*B666*F666)</f>
        <v>151172.257270724</v>
      </c>
      <c r="K666" s="29" t="n">
        <f aca="false">J666-('City Fiscal'!$B$13*E666)</f>
        <v>50526.8319562626</v>
      </c>
      <c r="L666" s="30" t="n">
        <f aca="false">'Mobility &amp; Emissions'!$B$21*B666*F666</f>
        <v>89.26115210335</v>
      </c>
    </row>
    <row r="667" customFormat="false" ht="15" hidden="false" customHeight="true" outlineLevel="0" collapsed="false">
      <c r="A667" s="14" t="n">
        <v>663</v>
      </c>
      <c r="B667" s="47" t="n">
        <v>0.865683137197467</v>
      </c>
      <c r="C667" s="47" t="n">
        <v>0.934433386736564</v>
      </c>
      <c r="D667" s="47" t="n">
        <v>1.11657867486792</v>
      </c>
      <c r="E667" s="47" t="n">
        <v>0.990026174455582</v>
      </c>
      <c r="F667" s="47" t="n">
        <v>0.983407271166155</v>
      </c>
      <c r="G667" s="27" t="n">
        <f aca="false">'Visitor Economics'!$B$5*B667</f>
        <v>27874.9970177584</v>
      </c>
      <c r="H667" s="29" t="n">
        <f aca="false">MAX(0,'Visitor Economics'!$B$18*B667*C667*D667)</f>
        <v>653568.78801014</v>
      </c>
      <c r="I667" s="29" t="n">
        <f aca="false">H667*Controls!$B$52</f>
        <v>928067.678974399</v>
      </c>
      <c r="J667" s="29" t="n">
        <f aca="false">'City Fiscal'!$B$5+(H667*Controls!$B$56*Controls!$B$55)+('City Fiscal'!$B$9*B667*F667)</f>
        <v>139524.964457407</v>
      </c>
      <c r="K667" s="29" t="n">
        <f aca="false">J667-('City Fiscal'!$B$13*E667)</f>
        <v>30622.0852672931</v>
      </c>
      <c r="L667" s="30" t="n">
        <f aca="false">'Mobility &amp; Emissions'!$B$21*B667*F667</f>
        <v>79.4550580657693</v>
      </c>
    </row>
    <row r="668" customFormat="false" ht="15" hidden="false" customHeight="true" outlineLevel="0" collapsed="false">
      <c r="A668" s="14" t="n">
        <v>664</v>
      </c>
      <c r="B668" s="47" t="n">
        <v>0.908639029847088</v>
      </c>
      <c r="C668" s="47" t="n">
        <v>0.896896033707858</v>
      </c>
      <c r="D668" s="47" t="n">
        <v>0.959180635114401</v>
      </c>
      <c r="E668" s="47" t="n">
        <v>0.996503541040966</v>
      </c>
      <c r="F668" s="47" t="n">
        <v>0.897196398167657</v>
      </c>
      <c r="G668" s="27" t="n">
        <f aca="false">'Visitor Economics'!$B$5*B668</f>
        <v>29258.1767610762</v>
      </c>
      <c r="H668" s="29" t="n">
        <f aca="false">MAX(0,'Visitor Economics'!$B$18*B668*C668*D668)</f>
        <v>565624.956158404</v>
      </c>
      <c r="I668" s="29" t="n">
        <f aca="false">H668*Controls!$B$52</f>
        <v>803187.437744934</v>
      </c>
      <c r="J668" s="29" t="n">
        <f aca="false">'City Fiscal'!$B$5+(H668*Controls!$B$56*Controls!$B$55)+('City Fiscal'!$B$9*B668*F668)</f>
        <v>135127.276811431</v>
      </c>
      <c r="K668" s="29" t="n">
        <f aca="false">J668-('City Fiscal'!$B$13*E668)</f>
        <v>25511.8872969243</v>
      </c>
      <c r="L668" s="30" t="n">
        <f aca="false">'Mobility &amp; Emissions'!$B$21*B668*F668</f>
        <v>76.0865838440612</v>
      </c>
    </row>
    <row r="669" customFormat="false" ht="15" hidden="false" customHeight="true" outlineLevel="0" collapsed="false">
      <c r="A669" s="14" t="n">
        <v>665</v>
      </c>
      <c r="B669" s="47" t="n">
        <v>0.937368286959546</v>
      </c>
      <c r="C669" s="47" t="n">
        <v>1.03938982694473</v>
      </c>
      <c r="D669" s="47" t="n">
        <v>1.04447323775236</v>
      </c>
      <c r="E669" s="47" t="n">
        <v>1.1182379037811</v>
      </c>
      <c r="F669" s="47" t="n">
        <v>1.0335203880501</v>
      </c>
      <c r="G669" s="27" t="n">
        <f aca="false">'Visitor Economics'!$B$5*B669</f>
        <v>30183.2588400974</v>
      </c>
      <c r="H669" s="29" t="n">
        <f aca="false">MAX(0,'Visitor Economics'!$B$18*B669*C669*D669)</f>
        <v>736343.918719375</v>
      </c>
      <c r="I669" s="29" t="n">
        <f aca="false">H669*Controls!$B$52</f>
        <v>1045608.36458151</v>
      </c>
      <c r="J669" s="29" t="n">
        <f aca="false">'City Fiscal'!$B$5+(H669*Controls!$B$56*Controls!$B$55)+('City Fiscal'!$B$9*B669*F669)</f>
        <v>152520.083943433</v>
      </c>
      <c r="K669" s="29" t="n">
        <f aca="false">J669-('City Fiscal'!$B$13*E669)</f>
        <v>29513.9145275115</v>
      </c>
      <c r="L669" s="30" t="n">
        <f aca="false">'Mobility &amp; Emissions'!$B$21*B669*F669</f>
        <v>90.4187463081152</v>
      </c>
    </row>
    <row r="670" customFormat="false" ht="15" hidden="false" customHeight="true" outlineLevel="0" collapsed="false">
      <c r="A670" s="14" t="n">
        <v>666</v>
      </c>
      <c r="B670" s="47" t="n">
        <v>0.942773061694769</v>
      </c>
      <c r="C670" s="47" t="n">
        <v>0.965770367359076</v>
      </c>
      <c r="D670" s="47" t="n">
        <v>1.06209377338683</v>
      </c>
      <c r="E670" s="47" t="n">
        <v>0.992735925620584</v>
      </c>
      <c r="F670" s="47" t="n">
        <v>0.920515955641259</v>
      </c>
      <c r="G670" s="27" t="n">
        <f aca="false">'Visitor Economics'!$B$5*B670</f>
        <v>30357.2925865716</v>
      </c>
      <c r="H670" s="29" t="n">
        <f aca="false">MAX(0,'Visitor Economics'!$B$18*B670*C670*D670)</f>
        <v>699743.016568719</v>
      </c>
      <c r="I670" s="29" t="n">
        <f aca="false">H670*Controls!$B$52</f>
        <v>993635.083527581</v>
      </c>
      <c r="J670" s="29" t="n">
        <f aca="false">'City Fiscal'!$B$5+(H670*Controls!$B$56*Controls!$B$55)+('City Fiscal'!$B$9*B670*F670)</f>
        <v>141576.110667971</v>
      </c>
      <c r="K670" s="29" t="n">
        <f aca="false">J670-('City Fiscal'!$B$13*E670)</f>
        <v>32375.1588497065</v>
      </c>
      <c r="L670" s="30" t="n">
        <f aca="false">'Mobility &amp; Emissions'!$B$21*B670*F670</f>
        <v>80.9967628101328</v>
      </c>
    </row>
    <row r="671" customFormat="false" ht="15" hidden="false" customHeight="true" outlineLevel="0" collapsed="false">
      <c r="A671" s="14" t="n">
        <v>667</v>
      </c>
      <c r="B671" s="47" t="n">
        <v>0.855688836693399</v>
      </c>
      <c r="C671" s="47" t="n">
        <v>0.924828431257937</v>
      </c>
      <c r="D671" s="47" t="n">
        <v>1.10236446904624</v>
      </c>
      <c r="E671" s="47" t="n">
        <v>0.980663934969862</v>
      </c>
      <c r="F671" s="47" t="n">
        <v>0.958685325596421</v>
      </c>
      <c r="G671" s="27" t="n">
        <f aca="false">'Visitor Economics'!$B$5*B671</f>
        <v>27553.1805415274</v>
      </c>
      <c r="H671" s="29" t="n">
        <f aca="false">MAX(0,'Visitor Economics'!$B$18*B671*C671*D671)</f>
        <v>631243.493995953</v>
      </c>
      <c r="I671" s="29" t="n">
        <f aca="false">H671*Controls!$B$52</f>
        <v>896365.761474253</v>
      </c>
      <c r="J671" s="29" t="n">
        <f aca="false">'City Fiscal'!$B$5+(H671*Controls!$B$56*Controls!$B$55)+('City Fiscal'!$B$9*B671*F671)</f>
        <v>136094.303688092</v>
      </c>
      <c r="K671" s="29" t="n">
        <f aca="false">J671-('City Fiscal'!$B$13*E671)</f>
        <v>28221.2708414073</v>
      </c>
      <c r="L671" s="30" t="n">
        <f aca="false">'Mobility &amp; Emissions'!$B$21*B671*F671</f>
        <v>76.5633843453585</v>
      </c>
    </row>
    <row r="672" customFormat="false" ht="15" hidden="false" customHeight="true" outlineLevel="0" collapsed="false">
      <c r="A672" s="14" t="n">
        <v>668</v>
      </c>
      <c r="B672" s="47" t="n">
        <v>0.870266272771174</v>
      </c>
      <c r="C672" s="47" t="n">
        <v>0.949278768558492</v>
      </c>
      <c r="D672" s="47" t="n">
        <v>1.05930062926166</v>
      </c>
      <c r="E672" s="47" t="n">
        <v>1.07821888928057</v>
      </c>
      <c r="F672" s="47" t="n">
        <v>0.977013778780099</v>
      </c>
      <c r="G672" s="27" t="n">
        <f aca="false">'Visitor Economics'!$B$5*B672</f>
        <v>28022.5739832318</v>
      </c>
      <c r="H672" s="29" t="n">
        <f aca="false">MAX(0,'Visitor Economics'!$B$18*B672*C672*D672)</f>
        <v>633227.577140412</v>
      </c>
      <c r="I672" s="29" t="n">
        <f aca="false">H672*Controls!$B$52</f>
        <v>899183.159539385</v>
      </c>
      <c r="J672" s="29" t="n">
        <f aca="false">'City Fiscal'!$B$5+(H672*Controls!$B$56*Controls!$B$55)+('City Fiscal'!$B$9*B672*F672)</f>
        <v>139281.054409311</v>
      </c>
      <c r="K672" s="29" t="n">
        <f aca="false">J672-('City Fiscal'!$B$13*E672)</f>
        <v>20676.9765884488</v>
      </c>
      <c r="L672" s="30" t="n">
        <f aca="false">'Mobility &amp; Emissions'!$B$21*B672*F672</f>
        <v>79.3564109443086</v>
      </c>
    </row>
    <row r="673" customFormat="false" ht="15" hidden="false" customHeight="true" outlineLevel="0" collapsed="false">
      <c r="A673" s="14" t="n">
        <v>669</v>
      </c>
      <c r="B673" s="47" t="n">
        <v>0.998366692347216</v>
      </c>
      <c r="C673" s="47" t="n">
        <v>1.02579808919136</v>
      </c>
      <c r="D673" s="47" t="n">
        <v>1.15963269396513</v>
      </c>
      <c r="E673" s="47" t="n">
        <v>1.03993155877191</v>
      </c>
      <c r="F673" s="47" t="n">
        <v>0.905924055646922</v>
      </c>
      <c r="G673" s="27" t="n">
        <f aca="false">'Visitor Economics'!$B$5*B673</f>
        <v>32147.4074935804</v>
      </c>
      <c r="H673" s="29" t="n">
        <f aca="false">MAX(0,'Visitor Economics'!$B$18*B673*C673*D673)</f>
        <v>859344.08101257</v>
      </c>
      <c r="I673" s="29" t="n">
        <f aca="false">H673*Controls!$B$52</f>
        <v>1220268.59503785</v>
      </c>
      <c r="J673" s="29" t="n">
        <f aca="false">'City Fiscal'!$B$5+(H673*Controls!$B$56*Controls!$B$55)+('City Fiscal'!$B$9*B673*F673)</f>
        <v>146492.792466758</v>
      </c>
      <c r="K673" s="29" t="n">
        <f aca="false">J673-('City Fiscal'!$B$13*E673)</f>
        <v>32100.3210018481</v>
      </c>
      <c r="L673" s="30" t="n">
        <f aca="false">'Mobility &amp; Emissions'!$B$21*B673*F673</f>
        <v>84.4133336831812</v>
      </c>
    </row>
    <row r="674" customFormat="false" ht="15" hidden="false" customHeight="true" outlineLevel="0" collapsed="false">
      <c r="A674" s="14" t="n">
        <v>670</v>
      </c>
      <c r="B674" s="47" t="n">
        <v>0.802821042920954</v>
      </c>
      <c r="C674" s="47" t="n">
        <v>1.07034116392826</v>
      </c>
      <c r="D674" s="47" t="n">
        <v>0.924343687080523</v>
      </c>
      <c r="E674" s="47" t="n">
        <v>1.09850330036598</v>
      </c>
      <c r="F674" s="47" t="n">
        <v>1.06189494906647</v>
      </c>
      <c r="G674" s="27" t="n">
        <f aca="false">'Visitor Economics'!$B$5*B674</f>
        <v>25850.8375820547</v>
      </c>
      <c r="H674" s="29" t="n">
        <f aca="false">MAX(0,'Visitor Economics'!$B$18*B674*C674*D674)</f>
        <v>574736.957440665</v>
      </c>
      <c r="I674" s="29" t="n">
        <f aca="false">H674*Controls!$B$52</f>
        <v>816126.479565744</v>
      </c>
      <c r="J674" s="29" t="n">
        <f aca="false">'City Fiscal'!$B$5+(H674*Controls!$B$56*Controls!$B$55)+('City Fiscal'!$B$9*B674*F674)</f>
        <v>139140.611252427</v>
      </c>
      <c r="K674" s="29" t="n">
        <f aca="false">J674-('City Fiscal'!$B$13*E674)</f>
        <v>18305.2482121694</v>
      </c>
      <c r="L674" s="30" t="n">
        <f aca="false">'Mobility &amp; Emissions'!$B$21*B674*F674</f>
        <v>79.5663578760263</v>
      </c>
    </row>
    <row r="675" customFormat="false" ht="15" hidden="false" customHeight="true" outlineLevel="0" collapsed="false">
      <c r="A675" s="14" t="n">
        <v>671</v>
      </c>
      <c r="B675" s="47" t="n">
        <v>0.916373017859106</v>
      </c>
      <c r="C675" s="47" t="n">
        <v>0.973176368934637</v>
      </c>
      <c r="D675" s="47" t="n">
        <v>0.942856071425047</v>
      </c>
      <c r="E675" s="47" t="n">
        <v>1.05561314344843</v>
      </c>
      <c r="F675" s="47" t="n">
        <v>0.948247137362877</v>
      </c>
      <c r="G675" s="27" t="n">
        <f aca="false">'Visitor Economics'!$B$5*B675</f>
        <v>29507.2111750632</v>
      </c>
      <c r="H675" s="29" t="n">
        <f aca="false">MAX(0,'Visitor Economics'!$B$18*B675*C675*D675)</f>
        <v>608420.613070723</v>
      </c>
      <c r="I675" s="29" t="n">
        <f aca="false">H675*Controls!$B$52</f>
        <v>863957.270560426</v>
      </c>
      <c r="J675" s="29" t="n">
        <f aca="false">'City Fiscal'!$B$5+(H675*Controls!$B$56*Controls!$B$55)+('City Fiscal'!$B$9*B675*F675)</f>
        <v>141102.113912838</v>
      </c>
      <c r="K675" s="29" t="n">
        <f aca="false">J675-('City Fiscal'!$B$13*E675)</f>
        <v>24984.6681335105</v>
      </c>
      <c r="L675" s="30" t="n">
        <f aca="false">'Mobility &amp; Emissions'!$B$21*B675*F675</f>
        <v>81.1004025393227</v>
      </c>
    </row>
    <row r="676" customFormat="false" ht="15" hidden="false" customHeight="true" outlineLevel="0" collapsed="false">
      <c r="A676" s="14" t="n">
        <v>672</v>
      </c>
      <c r="B676" s="47" t="n">
        <v>0.930669154263491</v>
      </c>
      <c r="C676" s="47" t="n">
        <v>1.00847421822735</v>
      </c>
      <c r="D676" s="47" t="n">
        <v>1.11353113908294</v>
      </c>
      <c r="E676" s="47" t="n">
        <v>1.09327173196899</v>
      </c>
      <c r="F676" s="47" t="n">
        <v>1.10139444476194</v>
      </c>
      <c r="G676" s="27" t="n">
        <f aca="false">'Visitor Economics'!$B$5*B676</f>
        <v>29967.5467672844</v>
      </c>
      <c r="H676" s="29" t="n">
        <f aca="false">MAX(0,'Visitor Economics'!$B$18*B676*C676*D676)</f>
        <v>756235.665739691</v>
      </c>
      <c r="I676" s="29" t="n">
        <f aca="false">H676*Controls!$B$52</f>
        <v>1073854.64535036</v>
      </c>
      <c r="J676" s="29" t="n">
        <f aca="false">'City Fiscal'!$B$5+(H676*Controls!$B$56*Controls!$B$55)+('City Fiscal'!$B$9*B676*F676)</f>
        <v>158614.214512096</v>
      </c>
      <c r="K676" s="29" t="n">
        <f aca="false">J676-('City Fiscal'!$B$13*E676)</f>
        <v>38354.3239955066</v>
      </c>
      <c r="L676" s="30" t="n">
        <f aca="false">'Mobility &amp; Emissions'!$B$21*B676*F676</f>
        <v>95.66815051033</v>
      </c>
    </row>
    <row r="677" customFormat="false" ht="15" hidden="false" customHeight="true" outlineLevel="0" collapsed="false">
      <c r="A677" s="14" t="n">
        <v>673</v>
      </c>
      <c r="B677" s="47" t="n">
        <v>0.821598076878625</v>
      </c>
      <c r="C677" s="47" t="n">
        <v>1.01844213472114</v>
      </c>
      <c r="D677" s="47" t="n">
        <v>0.953313877113173</v>
      </c>
      <c r="E677" s="47" t="n">
        <v>0.978968864876114</v>
      </c>
      <c r="F677" s="47" t="n">
        <v>0.872748626332155</v>
      </c>
      <c r="G677" s="27" t="n">
        <f aca="false">'Visitor Economics'!$B$5*B677</f>
        <v>26455.4580754917</v>
      </c>
      <c r="H677" s="29" t="n">
        <f aca="false">MAX(0,'Visitor Economics'!$B$18*B677*C677*D677)</f>
        <v>577200.046091661</v>
      </c>
      <c r="I677" s="29" t="n">
        <f aca="false">H677*Controls!$B$52</f>
        <v>819624.065450159</v>
      </c>
      <c r="J677" s="29" t="n">
        <f aca="false">'City Fiscal'!$B$5+(H677*Controls!$B$56*Controls!$B$55)+('City Fiscal'!$B$9*B677*F677)</f>
        <v>124789.533760766</v>
      </c>
      <c r="K677" s="29" t="n">
        <f aca="false">J677-('City Fiscal'!$B$13*E677)</f>
        <v>17102.9586243936</v>
      </c>
      <c r="L677" s="30" t="n">
        <f aca="false">'Mobility &amp; Emissions'!$B$21*B677*F677</f>
        <v>66.9233641666411</v>
      </c>
    </row>
    <row r="678" customFormat="false" ht="15" hidden="false" customHeight="true" outlineLevel="0" collapsed="false">
      <c r="A678" s="14" t="n">
        <v>674</v>
      </c>
      <c r="B678" s="47" t="n">
        <v>1.00412549213361</v>
      </c>
      <c r="C678" s="47" t="n">
        <v>1.03440794429388</v>
      </c>
      <c r="D678" s="47" t="n">
        <v>1.11613906469773</v>
      </c>
      <c r="E678" s="47" t="n">
        <v>1.14709834792386</v>
      </c>
      <c r="F678" s="47" t="n">
        <v>0.993483448522817</v>
      </c>
      <c r="G678" s="27" t="n">
        <f aca="false">'Visitor Economics'!$B$5*B678</f>
        <v>32332.8408467022</v>
      </c>
      <c r="H678" s="29" t="n">
        <f aca="false">MAX(0,'Visitor Economics'!$B$18*B678*C678*D678)</f>
        <v>838866.43636229</v>
      </c>
      <c r="I678" s="29" t="n">
        <f aca="false">H678*Controls!$B$52</f>
        <v>1191190.33963445</v>
      </c>
      <c r="J678" s="29" t="n">
        <f aca="false">'City Fiscal'!$B$5+(H678*Controls!$B$56*Controls!$B$55)+('City Fiscal'!$B$9*B678*F678)</f>
        <v>156238.160460962</v>
      </c>
      <c r="K678" s="29" t="n">
        <f aca="false">J678-('City Fiscal'!$B$13*E678)</f>
        <v>30057.3421893371</v>
      </c>
      <c r="L678" s="30" t="n">
        <f aca="false">'Mobility &amp; Emissions'!$B$21*B678*F678</f>
        <v>93.1060292389339</v>
      </c>
    </row>
    <row r="679" customFormat="false" ht="15" hidden="false" customHeight="true" outlineLevel="0" collapsed="false">
      <c r="A679" s="14" t="n">
        <v>675</v>
      </c>
      <c r="B679" s="47" t="n">
        <v>0.917599418603423</v>
      </c>
      <c r="C679" s="47" t="n">
        <v>1.03274176256651</v>
      </c>
      <c r="D679" s="47" t="n">
        <v>0.971455739010352</v>
      </c>
      <c r="E679" s="47" t="n">
        <v>0.938524680974049</v>
      </c>
      <c r="F679" s="47" t="n">
        <v>0.974328194710613</v>
      </c>
      <c r="G679" s="27" t="n">
        <f aca="false">'Visitor Economics'!$B$5*B679</f>
        <v>29546.7012790302</v>
      </c>
      <c r="H679" s="29" t="n">
        <f aca="false">MAX(0,'Visitor Economics'!$B$18*B679*C679*D679)</f>
        <v>666135.466680359</v>
      </c>
      <c r="I679" s="29" t="n">
        <f aca="false">H679*Controls!$B$52</f>
        <v>945912.36268611</v>
      </c>
      <c r="J679" s="29" t="n">
        <f aca="false">'City Fiscal'!$B$5+(H679*Controls!$B$56*Controls!$B$55)+('City Fiscal'!$B$9*B679*F679)</f>
        <v>144137.639258968</v>
      </c>
      <c r="K679" s="29" t="n">
        <f aca="false">J679-('City Fiscal'!$B$13*E679)</f>
        <v>40899.9243518222</v>
      </c>
      <c r="L679" s="30" t="n">
        <f aca="false">'Mobility &amp; Emissions'!$B$21*B679*F679</f>
        <v>83.4425516626934</v>
      </c>
    </row>
    <row r="680" customFormat="false" ht="15" hidden="false" customHeight="true" outlineLevel="0" collapsed="false">
      <c r="A680" s="14" t="n">
        <v>676</v>
      </c>
      <c r="B680" s="47" t="n">
        <v>0.903440674009826</v>
      </c>
      <c r="C680" s="47" t="n">
        <v>1.04837598168212</v>
      </c>
      <c r="D680" s="47" t="n">
        <v>0.934381669896397</v>
      </c>
      <c r="E680" s="47" t="n">
        <v>0.977746949257347</v>
      </c>
      <c r="F680" s="47" t="n">
        <v>1.03160447643597</v>
      </c>
      <c r="G680" s="27" t="n">
        <f aca="false">'Visitor Economics'!$B$5*B680</f>
        <v>29090.7897031164</v>
      </c>
      <c r="H680" s="29" t="n">
        <f aca="false">MAX(0,'Visitor Economics'!$B$18*B680*C680*D680)</f>
        <v>640376.935529731</v>
      </c>
      <c r="I680" s="29" t="n">
        <f aca="false">H680*Controls!$B$52</f>
        <v>909335.248452218</v>
      </c>
      <c r="J680" s="29" t="n">
        <f aca="false">'City Fiscal'!$B$5+(H680*Controls!$B$56*Controls!$B$55)+('City Fiscal'!$B$9*B680*F680)</f>
        <v>147995.702168342</v>
      </c>
      <c r="K680" s="29" t="n">
        <f aca="false">J680-('City Fiscal'!$B$13*E680)</f>
        <v>40443.5377500341</v>
      </c>
      <c r="L680" s="30" t="n">
        <f aca="false">'Mobility &amp; Emissions'!$B$21*B680*F680</f>
        <v>86.9845324709765</v>
      </c>
    </row>
    <row r="681" customFormat="false" ht="15" hidden="false" customHeight="true" outlineLevel="0" collapsed="false">
      <c r="A681" s="14" t="n">
        <v>677</v>
      </c>
      <c r="B681" s="47" t="n">
        <v>0.831029403288692</v>
      </c>
      <c r="C681" s="47" t="n">
        <v>0.883851389961378</v>
      </c>
      <c r="D681" s="47" t="n">
        <v>0.964861299357113</v>
      </c>
      <c r="E681" s="47" t="n">
        <v>1.01596741679843</v>
      </c>
      <c r="F681" s="47" t="n">
        <v>0.913816142158548</v>
      </c>
      <c r="G681" s="27" t="n">
        <f aca="false">'Visitor Economics'!$B$5*B681</f>
        <v>26759.1467858959</v>
      </c>
      <c r="H681" s="29" t="n">
        <f aca="false">MAX(0,'Visitor Economics'!$B$18*B681*C681*D681)</f>
        <v>512808.477530532</v>
      </c>
      <c r="I681" s="29" t="n">
        <f aca="false">H681*Controls!$B$52</f>
        <v>728188.038093355</v>
      </c>
      <c r="J681" s="29" t="n">
        <f aca="false">'City Fiscal'!$B$5+(H681*Controls!$B$56*Controls!$B$55)+('City Fiscal'!$B$9*B681*F681)</f>
        <v>128864.870992655</v>
      </c>
      <c r="K681" s="29" t="n">
        <f aca="false">J681-('City Fiscal'!$B$13*E681)</f>
        <v>17108.4551448272</v>
      </c>
      <c r="L681" s="30" t="n">
        <f aca="false">'Mobility &amp; Emissions'!$B$21*B681*F681</f>
        <v>70.8768474112659</v>
      </c>
    </row>
    <row r="682" customFormat="false" ht="15" hidden="false" customHeight="true" outlineLevel="0" collapsed="false">
      <c r="A682" s="14" t="n">
        <v>678</v>
      </c>
      <c r="B682" s="47" t="n">
        <v>0.872654195803536</v>
      </c>
      <c r="C682" s="47" t="n">
        <v>0.91338629449764</v>
      </c>
      <c r="D682" s="47" t="n">
        <v>0.910815518957041</v>
      </c>
      <c r="E682" s="47" t="n">
        <v>0.946117802074093</v>
      </c>
      <c r="F682" s="47" t="n">
        <v>1.02477021121155</v>
      </c>
      <c r="G682" s="27" t="n">
        <f aca="false">'Visitor Economics'!$B$5*B682</f>
        <v>28099.4651048739</v>
      </c>
      <c r="H682" s="29" t="n">
        <f aca="false">MAX(0,'Visitor Economics'!$B$18*B682*C682*D682)</f>
        <v>525317.372211796</v>
      </c>
      <c r="I682" s="29" t="n">
        <f aca="false">H682*Controls!$B$52</f>
        <v>745950.66854075</v>
      </c>
      <c r="J682" s="29" t="n">
        <f aca="false">'City Fiscal'!$B$5+(H682*Controls!$B$56*Controls!$B$55)+('City Fiscal'!$B$9*B682*F682)</f>
        <v>143249.217537988</v>
      </c>
      <c r="K682" s="29" t="n">
        <f aca="false">J682-('City Fiscal'!$B$13*E682)</f>
        <v>39176.2593098373</v>
      </c>
      <c r="L682" s="30" t="n">
        <f aca="false">'Mobility &amp; Emissions'!$B$21*B682*F682</f>
        <v>83.4637416501285</v>
      </c>
    </row>
    <row r="683" customFormat="false" ht="15" hidden="false" customHeight="true" outlineLevel="0" collapsed="false">
      <c r="A683" s="14" t="n">
        <v>679</v>
      </c>
      <c r="B683" s="47" t="n">
        <v>0.974174243050442</v>
      </c>
      <c r="C683" s="47" t="n">
        <v>0.993818871242452</v>
      </c>
      <c r="D683" s="47" t="n">
        <v>0.91199583326757</v>
      </c>
      <c r="E683" s="47" t="n">
        <v>1.04722241248106</v>
      </c>
      <c r="F683" s="47" t="n">
        <v>0.937849302786078</v>
      </c>
      <c r="G683" s="27" t="n">
        <f aca="false">'Visitor Economics'!$B$5*B683</f>
        <v>31368.4106262242</v>
      </c>
      <c r="H683" s="29" t="n">
        <f aca="false">MAX(0,'Visitor Economics'!$B$18*B683*C683*D683)</f>
        <v>638897.818971601</v>
      </c>
      <c r="I683" s="29" t="n">
        <f aca="false">H683*Controls!$B$52</f>
        <v>907234.902939674</v>
      </c>
      <c r="J683" s="29" t="n">
        <f aca="false">'City Fiscal'!$B$5+(H683*Controls!$B$56*Controls!$B$55)+('City Fiscal'!$B$9*B683*F683)</f>
        <v>146038.368820744</v>
      </c>
      <c r="K683" s="29" t="n">
        <f aca="false">J683-('City Fiscal'!$B$13*E683)</f>
        <v>30843.9034478276</v>
      </c>
      <c r="L683" s="30" t="n">
        <f aca="false">'Mobility &amp; Emissions'!$B$21*B683*F683</f>
        <v>85.2705136393513</v>
      </c>
    </row>
    <row r="684" customFormat="false" ht="15" hidden="false" customHeight="true" outlineLevel="0" collapsed="false">
      <c r="A684" s="14" t="n">
        <v>680</v>
      </c>
      <c r="B684" s="47" t="n">
        <v>0.937659244599044</v>
      </c>
      <c r="C684" s="47" t="n">
        <v>1.10150675799109</v>
      </c>
      <c r="D684" s="47" t="n">
        <v>0.959468938816721</v>
      </c>
      <c r="E684" s="47" t="n">
        <v>0.979455009328651</v>
      </c>
      <c r="F684" s="47" t="n">
        <v>0.97139810542179</v>
      </c>
      <c r="G684" s="27" t="n">
        <f aca="false">'Visitor Economics'!$B$5*B684</f>
        <v>30192.6276760892</v>
      </c>
      <c r="H684" s="29" t="n">
        <f aca="false">MAX(0,'Visitor Economics'!$B$18*B684*C684*D684)</f>
        <v>717063.79473524</v>
      </c>
      <c r="I684" s="29" t="n">
        <f aca="false">H684*Controls!$B$52</f>
        <v>1018230.58852404</v>
      </c>
      <c r="J684" s="29" t="n">
        <f aca="false">'City Fiscal'!$B$5+(H684*Controls!$B$56*Controls!$B$55)+('City Fiscal'!$B$9*B684*F684)</f>
        <v>146249.169120074</v>
      </c>
      <c r="K684" s="29" t="n">
        <f aca="false">J684-('City Fiscal'!$B$13*E684)</f>
        <v>38509.1180939219</v>
      </c>
      <c r="L684" s="30" t="n">
        <f aca="false">'Mobility &amp; Emissions'!$B$21*B684*F684</f>
        <v>85.0102842425665</v>
      </c>
    </row>
    <row r="685" customFormat="false" ht="15" hidden="false" customHeight="true" outlineLevel="0" collapsed="false">
      <c r="A685" s="14" t="n">
        <v>681</v>
      </c>
      <c r="B685" s="47" t="n">
        <v>0.859372539331938</v>
      </c>
      <c r="C685" s="47" t="n">
        <v>0.980408852623538</v>
      </c>
      <c r="D685" s="47" t="n">
        <v>0.907208883337603</v>
      </c>
      <c r="E685" s="47" t="n">
        <v>1.13524482582472</v>
      </c>
      <c r="F685" s="47" t="n">
        <v>0.976481223902997</v>
      </c>
      <c r="G685" s="27" t="n">
        <f aca="false">'Visitor Economics'!$B$5*B685</f>
        <v>27671.7957664884</v>
      </c>
      <c r="H685" s="29" t="n">
        <f aca="false">MAX(0,'Visitor Economics'!$B$18*B685*C685*D685)</f>
        <v>553083.445633669</v>
      </c>
      <c r="I685" s="29" t="n">
        <f aca="false">H685*Controls!$B$52</f>
        <v>785378.49279981</v>
      </c>
      <c r="J685" s="29" t="n">
        <f aca="false">'City Fiscal'!$B$5+(H685*Controls!$B$56*Controls!$B$55)+('City Fiscal'!$B$9*B685*F685)</f>
        <v>137584.36323873</v>
      </c>
      <c r="K685" s="29" t="n">
        <f aca="false">J685-('City Fiscal'!$B$13*E685)</f>
        <v>12707.432398011</v>
      </c>
      <c r="L685" s="30" t="n">
        <f aca="false">'Mobility &amp; Emissions'!$B$21*B685*F685</f>
        <v>78.3203366097012</v>
      </c>
    </row>
    <row r="686" customFormat="false" ht="15" hidden="false" customHeight="true" outlineLevel="0" collapsed="false">
      <c r="A686" s="14" t="n">
        <v>682</v>
      </c>
      <c r="B686" s="47" t="n">
        <v>0.956031257633122</v>
      </c>
      <c r="C686" s="47" t="n">
        <v>0.842649503305812</v>
      </c>
      <c r="D686" s="47" t="n">
        <v>1.08365322365612</v>
      </c>
      <c r="E686" s="47" t="n">
        <v>0.923910057261076</v>
      </c>
      <c r="F686" s="47" t="n">
        <v>0.954678077934207</v>
      </c>
      <c r="G686" s="27" t="n">
        <f aca="false">'Visitor Economics'!$B$5*B686</f>
        <v>30784.2064957865</v>
      </c>
      <c r="H686" s="29" t="n">
        <f aca="false">MAX(0,'Visitor Economics'!$B$18*B686*C686*D686)</f>
        <v>631690.081437623</v>
      </c>
      <c r="I686" s="29" t="n">
        <f aca="false">H686*Controls!$B$52</f>
        <v>896999.915641425</v>
      </c>
      <c r="J686" s="29" t="n">
        <f aca="false">'City Fiscal'!$B$5+(H686*Controls!$B$56*Controls!$B$55)+('City Fiscal'!$B$9*B686*F686)</f>
        <v>145893.393824235</v>
      </c>
      <c r="K686" s="29" t="n">
        <f aca="false">J686-('City Fiscal'!$B$13*E686)</f>
        <v>44263.2875255165</v>
      </c>
      <c r="L686" s="30" t="n">
        <f aca="false">'Mobility &amp; Emissions'!$B$21*B686*F686</f>
        <v>85.1840370449367</v>
      </c>
    </row>
    <row r="687" customFormat="false" ht="15" hidden="false" customHeight="true" outlineLevel="0" collapsed="false">
      <c r="A687" s="14" t="n">
        <v>683</v>
      </c>
      <c r="B687" s="47" t="n">
        <v>0.849437741898769</v>
      </c>
      <c r="C687" s="47" t="n">
        <v>0.93883181392203</v>
      </c>
      <c r="D687" s="47" t="n">
        <v>1.12289276181114</v>
      </c>
      <c r="E687" s="47" t="n">
        <v>1.0702675599676</v>
      </c>
      <c r="F687" s="47" t="n">
        <v>0.909812206112131</v>
      </c>
      <c r="G687" s="27" t="n">
        <f aca="false">'Visitor Economics'!$B$5*B687</f>
        <v>27351.8952891404</v>
      </c>
      <c r="H687" s="29" t="n">
        <f aca="false">MAX(0,'Visitor Economics'!$B$18*B687*C687*D687)</f>
        <v>647966.127121125</v>
      </c>
      <c r="I687" s="29" t="n">
        <f aca="false">H687*Controls!$B$52</f>
        <v>920111.900511997</v>
      </c>
      <c r="J687" s="29" t="n">
        <f aca="false">'City Fiscal'!$B$5+(H687*Controls!$B$56*Controls!$B$55)+('City Fiscal'!$B$9*B687*F687)</f>
        <v>131164.079743921</v>
      </c>
      <c r="K687" s="29" t="n">
        <f aca="false">J687-('City Fiscal'!$B$13*E687)</f>
        <v>13434.6481474848</v>
      </c>
      <c r="L687" s="30" t="n">
        <f aca="false">'Mobility &amp; Emissions'!$B$21*B687*F687</f>
        <v>72.1294281313548</v>
      </c>
    </row>
    <row r="688" customFormat="false" ht="15" hidden="false" customHeight="true" outlineLevel="0" collapsed="false">
      <c r="A688" s="14" t="n">
        <v>684</v>
      </c>
      <c r="B688" s="47" t="n">
        <v>0.991645106242484</v>
      </c>
      <c r="C688" s="47" t="n">
        <v>0.979395733945423</v>
      </c>
      <c r="D688" s="47" t="n">
        <v>0.856433631341184</v>
      </c>
      <c r="E688" s="47" t="n">
        <v>1.06065573681783</v>
      </c>
      <c r="F688" s="47" t="n">
        <v>1.04298364610958</v>
      </c>
      <c r="G688" s="27" t="n">
        <f aca="false">'Visitor Economics'!$B$5*B688</f>
        <v>31930.972421008</v>
      </c>
      <c r="H688" s="29" t="n">
        <f aca="false">MAX(0,'Visitor Economics'!$B$18*B688*C688*D688)</f>
        <v>601870.231742506</v>
      </c>
      <c r="I688" s="29" t="n">
        <f aca="false">H688*Controls!$B$52</f>
        <v>854655.729074359</v>
      </c>
      <c r="J688" s="29" t="n">
        <f aca="false">'City Fiscal'!$B$5+(H688*Controls!$B$56*Controls!$B$55)+('City Fiscal'!$B$9*B688*F688)</f>
        <v>158593.463069253</v>
      </c>
      <c r="K688" s="29" t="n">
        <f aca="false">J688-('City Fiscal'!$B$13*E688)</f>
        <v>41921.3320192916</v>
      </c>
      <c r="L688" s="30" t="n">
        <f aca="false">'Mobility &amp; Emissions'!$B$21*B688*F688</f>
        <v>96.5301426914541</v>
      </c>
    </row>
    <row r="689" customFormat="false" ht="15" hidden="false" customHeight="true" outlineLevel="0" collapsed="false">
      <c r="A689" s="14" t="n">
        <v>685</v>
      </c>
      <c r="B689" s="47" t="n">
        <v>0.953276690729551</v>
      </c>
      <c r="C689" s="47" t="n">
        <v>0.938604384404625</v>
      </c>
      <c r="D689" s="47" t="n">
        <v>1.0111564319476</v>
      </c>
      <c r="E689" s="47" t="n">
        <v>1.14762202385278</v>
      </c>
      <c r="F689" s="47" t="n">
        <v>0.930638080334294</v>
      </c>
      <c r="G689" s="27" t="n">
        <f aca="false">'Visitor Economics'!$B$5*B689</f>
        <v>30695.5094414915</v>
      </c>
      <c r="H689" s="29" t="n">
        <f aca="false">MAX(0,'Visitor Economics'!$B$18*B689*C689*D689)</f>
        <v>654658.13775417</v>
      </c>
      <c r="I689" s="29" t="n">
        <f aca="false">H689*Controls!$B$52</f>
        <v>929614.555610921</v>
      </c>
      <c r="J689" s="29" t="n">
        <f aca="false">'City Fiscal'!$B$5+(H689*Controls!$B$56*Controls!$B$55)+('City Fiscal'!$B$9*B689*F689)</f>
        <v>143332.797609255</v>
      </c>
      <c r="K689" s="29" t="n">
        <f aca="false">J689-('City Fiscal'!$B$13*E689)</f>
        <v>17094.3749854493</v>
      </c>
      <c r="L689" s="30" t="n">
        <f aca="false">'Mobility &amp; Emissions'!$B$21*B689*F689</f>
        <v>82.7997393314151</v>
      </c>
    </row>
    <row r="690" customFormat="false" ht="15" hidden="false" customHeight="true" outlineLevel="0" collapsed="false">
      <c r="A690" s="14" t="n">
        <v>686</v>
      </c>
      <c r="B690" s="47" t="n">
        <v>0.935928601772065</v>
      </c>
      <c r="C690" s="47" t="n">
        <v>1.00831293718608</v>
      </c>
      <c r="D690" s="47" t="n">
        <v>0.994144577330363</v>
      </c>
      <c r="E690" s="47" t="n">
        <v>0.982817382364415</v>
      </c>
      <c r="F690" s="47" t="n">
        <v>1.07105381579836</v>
      </c>
      <c r="G690" s="27" t="n">
        <f aca="false">'Visitor Economics'!$B$5*B690</f>
        <v>30136.9009770605</v>
      </c>
      <c r="H690" s="29" t="n">
        <f aca="false">MAX(0,'Visitor Economics'!$B$18*B690*C690*D690)</f>
        <v>678863.214741521</v>
      </c>
      <c r="I690" s="29" t="n">
        <f aca="false">H690*Controls!$B$52</f>
        <v>963985.764932959</v>
      </c>
      <c r="J690" s="29" t="n">
        <f aca="false">'City Fiscal'!$B$5+(H690*Controls!$B$56*Controls!$B$55)+('City Fiscal'!$B$9*B690*F690)</f>
        <v>155715.495813901</v>
      </c>
      <c r="K690" s="29" t="n">
        <f aca="false">J690-('City Fiscal'!$B$13*E690)</f>
        <v>47605.5837538149</v>
      </c>
      <c r="L690" s="30" t="n">
        <f aca="false">'Mobility &amp; Emissions'!$B$21*B690*F690</f>
        <v>93.5584867204904</v>
      </c>
    </row>
    <row r="691" customFormat="false" ht="15" hidden="false" customHeight="true" outlineLevel="0" collapsed="false">
      <c r="A691" s="14" t="n">
        <v>687</v>
      </c>
      <c r="B691" s="47" t="n">
        <v>0.977151429428743</v>
      </c>
      <c r="C691" s="47" t="n">
        <v>1.04188470060225</v>
      </c>
      <c r="D691" s="47" t="n">
        <v>1.06588386817011</v>
      </c>
      <c r="E691" s="47" t="n">
        <v>1.0069542224189</v>
      </c>
      <c r="F691" s="47" t="n">
        <v>0.919227884555286</v>
      </c>
      <c r="G691" s="27" t="n">
        <f aca="false">'Visitor Economics'!$B$5*B691</f>
        <v>31464.2760276055</v>
      </c>
      <c r="H691" s="29" t="n">
        <f aca="false">MAX(0,'Visitor Economics'!$B$18*B691*C691*D691)</f>
        <v>785210.487130803</v>
      </c>
      <c r="I691" s="29" t="n">
        <f aca="false">H691*Controls!$B$52</f>
        <v>1114998.89172574</v>
      </c>
      <c r="J691" s="29" t="n">
        <f aca="false">'City Fiscal'!$B$5+(H691*Controls!$B$56*Controls!$B$55)+('City Fiscal'!$B$9*B691*F691)</f>
        <v>145352.767850617</v>
      </c>
      <c r="K691" s="29" t="n">
        <f aca="false">J691-('City Fiscal'!$B$13*E691)</f>
        <v>34587.8033845382</v>
      </c>
      <c r="L691" s="30" t="n">
        <f aca="false">'Mobility &amp; Emissions'!$B$21*B691*F691</f>
        <v>83.8328514267285</v>
      </c>
    </row>
    <row r="692" customFormat="false" ht="15" hidden="false" customHeight="true" outlineLevel="0" collapsed="false">
      <c r="A692" s="14" t="n">
        <v>688</v>
      </c>
      <c r="B692" s="47" t="n">
        <v>0.872472698673717</v>
      </c>
      <c r="C692" s="47" t="n">
        <v>1.10356832327485</v>
      </c>
      <c r="D692" s="47" t="n">
        <v>1.13919047874844</v>
      </c>
      <c r="E692" s="47" t="n">
        <v>1.2119047247024</v>
      </c>
      <c r="F692" s="47" t="n">
        <v>1.08478880464215</v>
      </c>
      <c r="G692" s="27" t="n">
        <f aca="false">'Visitor Economics'!$B$5*B692</f>
        <v>28093.6208972937</v>
      </c>
      <c r="H692" s="29" t="n">
        <f aca="false">MAX(0,'Visitor Economics'!$B$18*B692*C692*D692)</f>
        <v>793673.880471422</v>
      </c>
      <c r="I692" s="29" t="n">
        <f aca="false">H692*Controls!$B$52</f>
        <v>1127016.91026942</v>
      </c>
      <c r="J692" s="29" t="n">
        <f aca="false">'City Fiscal'!$B$5+(H692*Controls!$B$56*Controls!$B$55)+('City Fiscal'!$B$9*B692*F692)</f>
        <v>150522.163884618</v>
      </c>
      <c r="K692" s="29" t="n">
        <f aca="false">J692-('City Fiscal'!$B$13*E692)</f>
        <v>17212.6441673539</v>
      </c>
      <c r="L692" s="30" t="n">
        <f aca="false">'Mobility &amp; Emissions'!$B$21*B692*F692</f>
        <v>88.3336582824635</v>
      </c>
    </row>
    <row r="693" customFormat="false" ht="15" hidden="false" customHeight="true" outlineLevel="0" collapsed="false">
      <c r="A693" s="14" t="n">
        <v>689</v>
      </c>
      <c r="B693" s="47" t="n">
        <v>0.841207842634748</v>
      </c>
      <c r="C693" s="47" t="n">
        <v>0.908943802482242</v>
      </c>
      <c r="D693" s="47" t="n">
        <v>1.03361203822763</v>
      </c>
      <c r="E693" s="47" t="n">
        <v>1.07666145841158</v>
      </c>
      <c r="F693" s="47" t="n">
        <v>1.03685186700612</v>
      </c>
      <c r="G693" s="27" t="n">
        <f aca="false">'Visitor Economics'!$B$5*B693</f>
        <v>27086.8925328389</v>
      </c>
      <c r="H693" s="29" t="n">
        <f aca="false">MAX(0,'Visitor Economics'!$B$18*B693*C693*D693)</f>
        <v>571863.758343983</v>
      </c>
      <c r="I693" s="29" t="n">
        <f aca="false">H693*Controls!$B$52</f>
        <v>812046.536848456</v>
      </c>
      <c r="J693" s="29" t="n">
        <f aca="false">'City Fiscal'!$B$5+(H693*Controls!$B$56*Controls!$B$55)+('City Fiscal'!$B$9*B693*F693)</f>
        <v>141210.959120156</v>
      </c>
      <c r="K693" s="29" t="n">
        <f aca="false">J693-('City Fiscal'!$B$13*E693)</f>
        <v>22778.1986948821</v>
      </c>
      <c r="L693" s="30" t="n">
        <f aca="false">'Mobility &amp; Emissions'!$B$21*B693*F693</f>
        <v>81.4046481301565</v>
      </c>
    </row>
    <row r="694" customFormat="false" ht="15" hidden="false" customHeight="true" outlineLevel="0" collapsed="false">
      <c r="A694" s="14" t="n">
        <v>690</v>
      </c>
      <c r="B694" s="47" t="n">
        <v>0.888055541273921</v>
      </c>
      <c r="C694" s="47" t="n">
        <v>0.999624608559073</v>
      </c>
      <c r="D694" s="47" t="n">
        <v>1.04880668500171</v>
      </c>
      <c r="E694" s="47" t="n">
        <v>1.0520511429687</v>
      </c>
      <c r="F694" s="47" t="n">
        <v>0.950957912022783</v>
      </c>
      <c r="G694" s="27" t="n">
        <f aca="false">'Visitor Economics'!$B$5*B694</f>
        <v>28595.3884290203</v>
      </c>
      <c r="H694" s="29" t="n">
        <f aca="false">MAX(0,'Visitor Economics'!$B$18*B694*C694*D694)</f>
        <v>673700.987434852</v>
      </c>
      <c r="I694" s="29" t="n">
        <f aca="false">H694*Controls!$B$52</f>
        <v>956655.40215749</v>
      </c>
      <c r="J694" s="29" t="n">
        <f aca="false">'City Fiscal'!$B$5+(H694*Controls!$B$56*Controls!$B$55)+('City Fiscal'!$B$9*B694*F694)</f>
        <v>138932.561964623</v>
      </c>
      <c r="K694" s="29" t="n">
        <f aca="false">J694-('City Fiscal'!$B$13*E694)</f>
        <v>23206.9362380658</v>
      </c>
      <c r="L694" s="30" t="n">
        <f aca="false">'Mobility &amp; Emissions'!$B$21*B694*F694</f>
        <v>78.8189420181196</v>
      </c>
    </row>
    <row r="695" customFormat="false" ht="15" hidden="false" customHeight="true" outlineLevel="0" collapsed="false">
      <c r="A695" s="14" t="n">
        <v>691</v>
      </c>
      <c r="B695" s="47" t="n">
        <v>0.897728501222092</v>
      </c>
      <c r="C695" s="47" t="n">
        <v>0.985870431361349</v>
      </c>
      <c r="D695" s="47" t="n">
        <v>1.14079262845394</v>
      </c>
      <c r="E695" s="47" t="n">
        <v>0.982341307127915</v>
      </c>
      <c r="F695" s="47" t="n">
        <v>1.02035625738201</v>
      </c>
      <c r="G695" s="27" t="n">
        <f aca="false">'Visitor Economics'!$B$5*B695</f>
        <v>28906.8577393514</v>
      </c>
      <c r="H695" s="29" t="n">
        <f aca="false">MAX(0,'Visitor Economics'!$B$18*B695*C695*D695)</f>
        <v>730577.395051569</v>
      </c>
      <c r="I695" s="29" t="n">
        <f aca="false">H695*Controls!$B$52</f>
        <v>1037419.90097323</v>
      </c>
      <c r="J695" s="29" t="n">
        <f aca="false">'City Fiscal'!$B$5+(H695*Controls!$B$56*Controls!$B$55)+('City Fiscal'!$B$9*B695*F695)</f>
        <v>146884.263417063</v>
      </c>
      <c r="K695" s="29" t="n">
        <f aca="false">J695-('City Fiscal'!$B$13*E695)</f>
        <v>38826.7196329919</v>
      </c>
      <c r="L695" s="30" t="n">
        <f aca="false">'Mobility &amp; Emissions'!$B$21*B695*F695</f>
        <v>85.492107269473</v>
      </c>
    </row>
    <row r="696" customFormat="false" ht="15" hidden="false" customHeight="true" outlineLevel="0" collapsed="false">
      <c r="A696" s="14" t="n">
        <v>692</v>
      </c>
      <c r="B696" s="47" t="n">
        <v>0.825825756949558</v>
      </c>
      <c r="C696" s="47" t="n">
        <v>0.935373307138177</v>
      </c>
      <c r="D696" s="47" t="n">
        <v>0.896606603586589</v>
      </c>
      <c r="E696" s="47" t="n">
        <v>0.997160097087352</v>
      </c>
      <c r="F696" s="47" t="n">
        <v>1.04926519965772</v>
      </c>
      <c r="G696" s="27" t="n">
        <f aca="false">'Visitor Economics'!$B$5*B696</f>
        <v>26591.5893737758</v>
      </c>
      <c r="H696" s="29" t="n">
        <f aca="false">MAX(0,'Visitor Economics'!$B$18*B696*C696*D696)</f>
        <v>501152.612953345</v>
      </c>
      <c r="I696" s="29" t="n">
        <f aca="false">H696*Controls!$B$52</f>
        <v>711636.710393749</v>
      </c>
      <c r="J696" s="29" t="n">
        <f aca="false">'City Fiscal'!$B$5+(H696*Controls!$B$56*Controls!$B$55)+('City Fiscal'!$B$9*B696*F696)</f>
        <v>140148.460549123</v>
      </c>
      <c r="K696" s="29" t="n">
        <f aca="false">J696-('City Fiscal'!$B$13*E696)</f>
        <v>30460.8498695147</v>
      </c>
      <c r="L696" s="30" t="n">
        <f aca="false">'Mobility &amp; Emissions'!$B$21*B696*F696</f>
        <v>80.8728726231235</v>
      </c>
    </row>
    <row r="697" customFormat="false" ht="15" hidden="false" customHeight="true" outlineLevel="0" collapsed="false">
      <c r="A697" s="14" t="n">
        <v>693</v>
      </c>
      <c r="B697" s="47" t="n">
        <v>0.838110240061456</v>
      </c>
      <c r="C697" s="47" t="n">
        <v>1.00529167423417</v>
      </c>
      <c r="D697" s="47" t="n">
        <v>0.970914902508945</v>
      </c>
      <c r="E697" s="47" t="n">
        <v>1.15639845086752</v>
      </c>
      <c r="F697" s="47" t="n">
        <v>1.04425265960791</v>
      </c>
      <c r="G697" s="27" t="n">
        <f aca="false">'Visitor Economics'!$B$5*B697</f>
        <v>26987.1497299789</v>
      </c>
      <c r="H697" s="29" t="n">
        <f aca="false">MAX(0,'Visitor Economics'!$B$18*B697*C697*D697)</f>
        <v>591928.252739144</v>
      </c>
      <c r="I697" s="29" t="n">
        <f aca="false">H697*Controls!$B$52</f>
        <v>840538.118889585</v>
      </c>
      <c r="J697" s="29" t="n">
        <f aca="false">'City Fiscal'!$B$5+(H697*Controls!$B$56*Controls!$B$55)+('City Fiscal'!$B$9*B697*F697)</f>
        <v>141658.190816277</v>
      </c>
      <c r="K697" s="29" t="n">
        <f aca="false">J697-('City Fiscal'!$B$13*E697)</f>
        <v>14454.3612208499</v>
      </c>
      <c r="L697" s="30" t="n">
        <f aca="false">'Mobility &amp; Emissions'!$B$21*B697*F697</f>
        <v>81.6837962499041</v>
      </c>
    </row>
    <row r="698" customFormat="false" ht="15" hidden="false" customHeight="true" outlineLevel="0" collapsed="false">
      <c r="A698" s="14" t="n">
        <v>694</v>
      </c>
      <c r="B698" s="47" t="n">
        <v>0.92986676528605</v>
      </c>
      <c r="C698" s="47" t="n">
        <v>0.965399449792632</v>
      </c>
      <c r="D698" s="47" t="n">
        <v>1.01487503322701</v>
      </c>
      <c r="E698" s="47" t="n">
        <v>0.975274273464731</v>
      </c>
      <c r="F698" s="47" t="n">
        <v>0.941610588907615</v>
      </c>
      <c r="G698" s="27" t="n">
        <f aca="false">'Visitor Economics'!$B$5*B698</f>
        <v>29941.7098422108</v>
      </c>
      <c r="H698" s="29" t="n">
        <f aca="false">MAX(0,'Visitor Economics'!$B$18*B698*C698*D698)</f>
        <v>659227.03702963</v>
      </c>
      <c r="I698" s="29" t="n">
        <f aca="false">H698*Controls!$B$52</f>
        <v>936102.392582074</v>
      </c>
      <c r="J698" s="29" t="n">
        <f aca="false">'City Fiscal'!$B$5+(H698*Controls!$B$56*Controls!$B$55)+('City Fiscal'!$B$9*B698*F698)</f>
        <v>142133.904679471</v>
      </c>
      <c r="K698" s="29" t="n">
        <f aca="false">J698-('City Fiscal'!$B$13*E698)</f>
        <v>34853.7345983504</v>
      </c>
      <c r="L698" s="30" t="n">
        <f aca="false">'Mobility &amp; Emissions'!$B$21*B698*F698</f>
        <v>81.7186598619765</v>
      </c>
    </row>
    <row r="699" customFormat="false" ht="15" hidden="false" customHeight="true" outlineLevel="0" collapsed="false">
      <c r="A699" s="14" t="n">
        <v>695</v>
      </c>
      <c r="B699" s="47" t="n">
        <v>0.930938223687151</v>
      </c>
      <c r="C699" s="47" t="n">
        <v>1.00373306574954</v>
      </c>
      <c r="D699" s="47" t="n">
        <v>1.0022223779273</v>
      </c>
      <c r="E699" s="47" t="n">
        <v>0.923536949926101</v>
      </c>
      <c r="F699" s="47" t="n">
        <v>0.888826537316634</v>
      </c>
      <c r="G699" s="27" t="n">
        <f aca="false">'Visitor Economics'!$B$5*B699</f>
        <v>29976.2108027263</v>
      </c>
      <c r="H699" s="29" t="n">
        <f aca="false">MAX(0,'Visitor Economics'!$B$18*B699*C699*D699)</f>
        <v>677638.166794193</v>
      </c>
      <c r="I699" s="29" t="n">
        <f aca="false">H699*Controls!$B$52</f>
        <v>962246.196847754</v>
      </c>
      <c r="J699" s="29" t="n">
        <f aca="false">'City Fiscal'!$B$5+(H699*Controls!$B$56*Controls!$B$55)+('City Fiscal'!$B$9*B699*F699)</f>
        <v>137148.622941896</v>
      </c>
      <c r="K699" s="29" t="n">
        <f aca="false">J699-('City Fiscal'!$B$13*E699)</f>
        <v>35559.5584500251</v>
      </c>
      <c r="L699" s="30" t="n">
        <f aca="false">'Mobility &amp; Emissions'!$B$21*B699*F699</f>
        <v>77.2266243065414</v>
      </c>
    </row>
    <row r="700" customFormat="false" ht="15" hidden="false" customHeight="true" outlineLevel="0" collapsed="false">
      <c r="A700" s="14" t="n">
        <v>696</v>
      </c>
      <c r="B700" s="47" t="n">
        <v>0.933675032580371</v>
      </c>
      <c r="C700" s="47" t="n">
        <v>0.885931782927508</v>
      </c>
      <c r="D700" s="47" t="n">
        <v>1.09050470226367</v>
      </c>
      <c r="E700" s="47" t="n">
        <v>1.08887504848721</v>
      </c>
      <c r="F700" s="47" t="n">
        <v>1.04727463799042</v>
      </c>
      <c r="G700" s="27" t="n">
        <f aca="false">'Visitor Economics'!$B$5*B700</f>
        <v>30064.3360490879</v>
      </c>
      <c r="H700" s="29" t="n">
        <f aca="false">MAX(0,'Visitor Economics'!$B$18*B700*C700*D700)</f>
        <v>652706.954387435</v>
      </c>
      <c r="I700" s="29" t="n">
        <f aca="false">H700*Controls!$B$52</f>
        <v>926843.875230158</v>
      </c>
      <c r="J700" s="29" t="n">
        <f aca="false">'City Fiscal'!$B$5+(H700*Controls!$B$56*Controls!$B$55)+('City Fiscal'!$B$9*B700*F700)</f>
        <v>152935.290912716</v>
      </c>
      <c r="K700" s="29" t="n">
        <f aca="false">J700-('City Fiscal'!$B$13*E700)</f>
        <v>33159.0355791231</v>
      </c>
      <c r="L700" s="30" t="n">
        <f aca="false">'Mobility &amp; Emissions'!$B$21*B700*F700</f>
        <v>91.2610598664913</v>
      </c>
    </row>
    <row r="701" customFormat="false" ht="15" hidden="false" customHeight="true" outlineLevel="0" collapsed="false">
      <c r="A701" s="14" t="n">
        <v>697</v>
      </c>
      <c r="B701" s="47" t="n">
        <v>0.823183330117072</v>
      </c>
      <c r="C701" s="47" t="n">
        <v>1.06419677428679</v>
      </c>
      <c r="D701" s="47" t="n">
        <v>1.06240668988474</v>
      </c>
      <c r="E701" s="47" t="n">
        <v>1.01096809836342</v>
      </c>
      <c r="F701" s="47" t="n">
        <v>0.984247905011587</v>
      </c>
      <c r="G701" s="27" t="n">
        <f aca="false">'Visitor Economics'!$B$5*B701</f>
        <v>26506.5032297697</v>
      </c>
      <c r="H701" s="29" t="n">
        <f aca="false">MAX(0,'Visitor Economics'!$B$18*B701*C701*D701)</f>
        <v>673447.851402401</v>
      </c>
      <c r="I701" s="29" t="n">
        <f aca="false">H701*Controls!$B$52</f>
        <v>956295.948991409</v>
      </c>
      <c r="J701" s="29" t="n">
        <f aca="false">'City Fiscal'!$B$5+(H701*Controls!$B$56*Controls!$B$55)+('City Fiscal'!$B$9*B701*F701)</f>
        <v>135294.487914057</v>
      </c>
      <c r="K701" s="29" t="n">
        <f aca="false">J701-('City Fiscal'!$B$13*E701)</f>
        <v>24087.9970940808</v>
      </c>
      <c r="L701" s="30" t="n">
        <f aca="false">'Mobility &amp; Emissions'!$B$21*B701*F701</f>
        <v>75.6188803365331</v>
      </c>
    </row>
    <row r="702" customFormat="false" ht="15" hidden="false" customHeight="true" outlineLevel="0" collapsed="false">
      <c r="A702" s="14" t="n">
        <v>698</v>
      </c>
      <c r="B702" s="47" t="n">
        <v>0.90679747631558</v>
      </c>
      <c r="C702" s="47" t="n">
        <v>0.917072138124181</v>
      </c>
      <c r="D702" s="47" t="n">
        <v>1.0493915505269</v>
      </c>
      <c r="E702" s="47" t="n">
        <v>1.21334280425346</v>
      </c>
      <c r="F702" s="47" t="n">
        <v>1.01359068946732</v>
      </c>
      <c r="G702" s="27" t="n">
        <f aca="false">'Visitor Economics'!$B$5*B702</f>
        <v>29198.8787373617</v>
      </c>
      <c r="H702" s="29" t="n">
        <f aca="false">MAX(0,'Visitor Economics'!$B$18*B702*C702*D702)</f>
        <v>631460.275263608</v>
      </c>
      <c r="I702" s="29" t="n">
        <f aca="false">H702*Controls!$B$52</f>
        <v>896673.590874323</v>
      </c>
      <c r="J702" s="29" t="n">
        <f aca="false">'City Fiscal'!$B$5+(H702*Controls!$B$56*Controls!$B$55)+('City Fiscal'!$B$9*B702*F702)</f>
        <v>146572.737768562</v>
      </c>
      <c r="K702" s="29" t="n">
        <f aca="false">J702-('City Fiscal'!$B$13*E702)</f>
        <v>13105.0293006812</v>
      </c>
      <c r="L702" s="30" t="n">
        <f aca="false">'Mobility &amp; Emissions'!$B$21*B702*F702</f>
        <v>85.7831701626712</v>
      </c>
    </row>
    <row r="703" customFormat="false" ht="15" hidden="false" customHeight="true" outlineLevel="0" collapsed="false">
      <c r="A703" s="14" t="n">
        <v>699</v>
      </c>
      <c r="B703" s="47" t="n">
        <v>0.898864628885131</v>
      </c>
      <c r="C703" s="47" t="n">
        <v>0.919814828557685</v>
      </c>
      <c r="D703" s="47" t="n">
        <v>0.963175598811632</v>
      </c>
      <c r="E703" s="47" t="n">
        <v>1.15931510599885</v>
      </c>
      <c r="F703" s="47" t="n">
        <v>0.858215838362577</v>
      </c>
      <c r="G703" s="27" t="n">
        <f aca="false">'Visitor Economics'!$B$5*B703</f>
        <v>28943.4410501012</v>
      </c>
      <c r="H703" s="29" t="n">
        <f aca="false">MAX(0,'Visitor Economics'!$B$18*B703*C703*D703)</f>
        <v>576228.638293667</v>
      </c>
      <c r="I703" s="29" t="n">
        <f aca="false">H703*Controls!$B$52</f>
        <v>818244.666377008</v>
      </c>
      <c r="J703" s="29" t="n">
        <f aca="false">'City Fiscal'!$B$5+(H703*Controls!$B$56*Controls!$B$55)+('City Fiscal'!$B$9*B703*F703)</f>
        <v>130549.78776461</v>
      </c>
      <c r="K703" s="29" t="n">
        <f aca="false">J703-('City Fiscal'!$B$13*E703)</f>
        <v>3025.12610473699</v>
      </c>
      <c r="L703" s="30" t="n">
        <f aca="false">'Mobility &amp; Emissions'!$B$21*B703*F703</f>
        <v>71.9979270458514</v>
      </c>
    </row>
    <row r="704" customFormat="false" ht="15" hidden="false" customHeight="true" outlineLevel="0" collapsed="false">
      <c r="A704" s="14" t="n">
        <v>700</v>
      </c>
      <c r="B704" s="47" t="n">
        <v>0.943397127991178</v>
      </c>
      <c r="C704" s="47" t="n">
        <v>1.01581746787489</v>
      </c>
      <c r="D704" s="47" t="n">
        <v>0.895268816251404</v>
      </c>
      <c r="E704" s="47" t="n">
        <v>1.04485066414926</v>
      </c>
      <c r="F704" s="47" t="n">
        <v>1.04172950540429</v>
      </c>
      <c r="G704" s="27" t="n">
        <f aca="false">'Visitor Economics'!$B$5*B704</f>
        <v>30377.3875213159</v>
      </c>
      <c r="H704" s="29" t="n">
        <f aca="false">MAX(0,'Visitor Economics'!$B$18*B704*C704*D704)</f>
        <v>620809.49910608</v>
      </c>
      <c r="I704" s="29" t="n">
        <f aca="false">H704*Controls!$B$52</f>
        <v>881549.488730634</v>
      </c>
      <c r="J704" s="29" t="n">
        <f aca="false">'City Fiscal'!$B$5+(H704*Controls!$B$56*Controls!$B$55)+('City Fiscal'!$B$9*B704*F704)</f>
        <v>153253.633071301</v>
      </c>
      <c r="K704" s="29" t="n">
        <f aca="false">J704-('City Fiscal'!$B$13*E704)</f>
        <v>38320.0600148821</v>
      </c>
      <c r="L704" s="30" t="n">
        <f aca="false">'Mobility &amp; Emissions'!$B$21*B704*F704</f>
        <v>91.7230930150421</v>
      </c>
    </row>
    <row r="705" customFormat="false" ht="15" hidden="false" customHeight="true" outlineLevel="0" collapsed="false">
      <c r="A705" s="14" t="n">
        <v>701</v>
      </c>
      <c r="B705" s="47" t="n">
        <v>0.890363037290571</v>
      </c>
      <c r="C705" s="47" t="n">
        <v>0.996898275853667</v>
      </c>
      <c r="D705" s="47" t="n">
        <v>1.07809522985094</v>
      </c>
      <c r="E705" s="47" t="n">
        <v>1.01990491096071</v>
      </c>
      <c r="F705" s="47" t="n">
        <v>0.926632238646669</v>
      </c>
      <c r="G705" s="27" t="n">
        <f aca="false">'Visitor Economics'!$B$5*B705</f>
        <v>28669.6898007564</v>
      </c>
      <c r="H705" s="29" t="n">
        <f aca="false">MAX(0,'Visitor Economics'!$B$18*B705*C705*D705)</f>
        <v>692420.251250894</v>
      </c>
      <c r="I705" s="29" t="n">
        <f aca="false">H705*Controls!$B$52</f>
        <v>983236.756776269</v>
      </c>
      <c r="J705" s="29" t="n">
        <f aca="false">'City Fiscal'!$B$5+(H705*Controls!$B$56*Controls!$B$55)+('City Fiscal'!$B$9*B705*F705)</f>
        <v>136989.498286903</v>
      </c>
      <c r="K705" s="29" t="n">
        <f aca="false">J705-('City Fiscal'!$B$13*E705)</f>
        <v>24799.9580812246</v>
      </c>
      <c r="L705" s="30" t="n">
        <f aca="false">'Mobility &amp; Emissions'!$B$21*B705*F705</f>
        <v>77.0023012517413</v>
      </c>
    </row>
    <row r="706" customFormat="false" ht="15" hidden="false" customHeight="true" outlineLevel="0" collapsed="false">
      <c r="A706" s="14" t="n">
        <v>702</v>
      </c>
      <c r="B706" s="47" t="n">
        <v>0.901796551675325</v>
      </c>
      <c r="C706" s="47" t="n">
        <v>1.05721465139063</v>
      </c>
      <c r="D706" s="47" t="n">
        <v>1.18187327983823</v>
      </c>
      <c r="E706" s="47" t="n">
        <v>1.05341350504167</v>
      </c>
      <c r="F706" s="47" t="n">
        <v>0.966479611949903</v>
      </c>
      <c r="G706" s="27" t="n">
        <f aca="false">'Visitor Economics'!$B$5*B706</f>
        <v>29037.8489639455</v>
      </c>
      <c r="H706" s="29" t="n">
        <f aca="false">MAX(0,'Visitor Economics'!$B$18*B706*C706*D706)</f>
        <v>815337.330545689</v>
      </c>
      <c r="I706" s="29" t="n">
        <f aca="false">H706*Controls!$B$52</f>
        <v>1157779.00937488</v>
      </c>
      <c r="J706" s="29" t="n">
        <f aca="false">'City Fiscal'!$B$5+(H706*Controls!$B$56*Controls!$B$55)+('City Fiscal'!$B$9*B706*F706)</f>
        <v>142720.796540857</v>
      </c>
      <c r="K706" s="29" t="n">
        <f aca="false">J706-('City Fiscal'!$B$13*E706)</f>
        <v>26845.3109862734</v>
      </c>
      <c r="L706" s="30" t="n">
        <f aca="false">'Mobility &amp; Emissions'!$B$21*B706*F706</f>
        <v>81.3449213622505</v>
      </c>
    </row>
    <row r="707" customFormat="false" ht="15" hidden="false" customHeight="true" outlineLevel="0" collapsed="false">
      <c r="A707" s="14" t="n">
        <v>703</v>
      </c>
      <c r="B707" s="47" t="n">
        <v>0.931614480824063</v>
      </c>
      <c r="C707" s="47" t="n">
        <v>0.991315498423231</v>
      </c>
      <c r="D707" s="47" t="n">
        <v>0.98826977697208</v>
      </c>
      <c r="E707" s="47" t="n">
        <v>1.09361505826967</v>
      </c>
      <c r="F707" s="47" t="n">
        <v>0.96896428035339</v>
      </c>
      <c r="G707" s="27" t="n">
        <f aca="false">'Visitor Economics'!$B$5*B707</f>
        <v>29997.9862825348</v>
      </c>
      <c r="H707" s="29" t="n">
        <f aca="false">MAX(0,'Visitor Economics'!$B$18*B707*C707*D707)</f>
        <v>660417.100634045</v>
      </c>
      <c r="I707" s="29" t="n">
        <f aca="false">H707*Controls!$B$52</f>
        <v>937792.282900345</v>
      </c>
      <c r="J707" s="29" t="n">
        <f aca="false">'City Fiscal'!$B$5+(H707*Controls!$B$56*Controls!$B$55)+('City Fiscal'!$B$9*B707*F707)</f>
        <v>145018.858932683</v>
      </c>
      <c r="K707" s="29" t="n">
        <f aca="false">J707-('City Fiscal'!$B$13*E707)</f>
        <v>24721.2025230193</v>
      </c>
      <c r="L707" s="30" t="n">
        <f aca="false">'Mobility &amp; Emissions'!$B$21*B707*F707</f>
        <v>84.2506333861055</v>
      </c>
    </row>
    <row r="708" customFormat="false" ht="15" hidden="false" customHeight="true" outlineLevel="0" collapsed="false">
      <c r="A708" s="14" t="n">
        <v>704</v>
      </c>
      <c r="B708" s="47" t="n">
        <v>0.984167054265662</v>
      </c>
      <c r="C708" s="47" t="n">
        <v>0.936305631849881</v>
      </c>
      <c r="D708" s="47" t="n">
        <v>0.988517864942072</v>
      </c>
      <c r="E708" s="47" t="n">
        <v>0.961175422790229</v>
      </c>
      <c r="F708" s="47" t="n">
        <v>0.982051126462443</v>
      </c>
      <c r="G708" s="27" t="n">
        <f aca="false">'Visitor Economics'!$B$5*B708</f>
        <v>31690.1791473543</v>
      </c>
      <c r="H708" s="29" t="n">
        <f aca="false">MAX(0,'Visitor Economics'!$B$18*B708*C708*D708)</f>
        <v>659121.761225266</v>
      </c>
      <c r="I708" s="29" t="n">
        <f aca="false">H708*Controls!$B$52</f>
        <v>935952.900939877</v>
      </c>
      <c r="J708" s="29" t="n">
        <f aca="false">'City Fiscal'!$B$5+(H708*Controls!$B$56*Controls!$B$55)+('City Fiscal'!$B$9*B708*F708)</f>
        <v>151777.141639135</v>
      </c>
      <c r="K708" s="29" t="n">
        <f aca="false">J708-('City Fiscal'!$B$13*E708)</f>
        <v>46047.84513221</v>
      </c>
      <c r="L708" s="30" t="n">
        <f aca="false">'Mobility &amp; Emissions'!$B$21*B708*F708</f>
        <v>90.205308711228</v>
      </c>
    </row>
    <row r="709" customFormat="false" ht="15" hidden="false" customHeight="true" outlineLevel="0" collapsed="false">
      <c r="A709" s="14" t="n">
        <v>705</v>
      </c>
      <c r="B709" s="47" t="n">
        <v>0.836942075831497</v>
      </c>
      <c r="C709" s="47" t="n">
        <v>0.909849874791232</v>
      </c>
      <c r="D709" s="47" t="n">
        <v>1.16709191836739</v>
      </c>
      <c r="E709" s="47" t="n">
        <v>1.24266856085069</v>
      </c>
      <c r="F709" s="47" t="n">
        <v>1.04553708792112</v>
      </c>
      <c r="G709" s="27" t="n">
        <f aca="false">'Visitor Economics'!$B$5*B709</f>
        <v>26949.5348417742</v>
      </c>
      <c r="H709" s="29" t="n">
        <f aca="false">MAX(0,'Visitor Economics'!$B$18*B709*C709*D709)</f>
        <v>643079.80706797</v>
      </c>
      <c r="I709" s="29" t="n">
        <f aca="false">H709*Controls!$B$52</f>
        <v>913173.326036517</v>
      </c>
      <c r="J709" s="29" t="n">
        <f aca="false">'City Fiscal'!$B$5+(H709*Controls!$B$56*Controls!$B$55)+('City Fiscal'!$B$9*B709*F709)</f>
        <v>141974.288527861</v>
      </c>
      <c r="K709" s="29" t="n">
        <f aca="false">J709-('City Fiscal'!$B$13*E709)</f>
        <v>5280.74683428524</v>
      </c>
      <c r="L709" s="30" t="n">
        <f aca="false">'Mobility &amp; Emissions'!$B$21*B709*F709</f>
        <v>81.6702756126934</v>
      </c>
    </row>
    <row r="710" customFormat="false" ht="15" hidden="false" customHeight="true" outlineLevel="0" collapsed="false">
      <c r="A710" s="14" t="n">
        <v>706</v>
      </c>
      <c r="B710" s="47" t="n">
        <v>0.860840583867263</v>
      </c>
      <c r="C710" s="47" t="n">
        <v>0.974405310789493</v>
      </c>
      <c r="D710" s="47" t="n">
        <v>1.14025597966176</v>
      </c>
      <c r="E710" s="47" t="n">
        <v>1.11264553156158</v>
      </c>
      <c r="F710" s="47" t="n">
        <v>1.01642417883464</v>
      </c>
      <c r="G710" s="27" t="n">
        <f aca="false">'Visitor Economics'!$B$5*B710</f>
        <v>27719.0668005259</v>
      </c>
      <c r="H710" s="29" t="n">
        <f aca="false">MAX(0,'Visitor Economics'!$B$18*B710*C710*D710)</f>
        <v>692084.947563672</v>
      </c>
      <c r="I710" s="29" t="n">
        <f aca="false">H710*Controls!$B$52</f>
        <v>982760.625540415</v>
      </c>
      <c r="J710" s="29" t="n">
        <f aca="false">'City Fiscal'!$B$5+(H710*Controls!$B$56*Controls!$B$55)+('City Fiscal'!$B$9*B710*F710)</f>
        <v>142283.908945117</v>
      </c>
      <c r="K710" s="29" t="n">
        <f aca="false">J710-('City Fiscal'!$B$13*E710)</f>
        <v>19892.9004733436</v>
      </c>
      <c r="L710" s="30" t="n">
        <f aca="false">'Mobility &amp; Emissions'!$B$21*B710*F710</f>
        <v>81.6632946667162</v>
      </c>
    </row>
    <row r="711" customFormat="false" ht="15" hidden="false" customHeight="true" outlineLevel="0" collapsed="false">
      <c r="A711" s="14" t="n">
        <v>707</v>
      </c>
      <c r="B711" s="47" t="n">
        <v>0.898297928975955</v>
      </c>
      <c r="C711" s="47" t="n">
        <v>0.963906219462538</v>
      </c>
      <c r="D711" s="47" t="n">
        <v>1.14860350104663</v>
      </c>
      <c r="E711" s="47" t="n">
        <v>1.01711859241236</v>
      </c>
      <c r="F711" s="47" t="n">
        <v>1.03028158036459</v>
      </c>
      <c r="G711" s="27" t="n">
        <f aca="false">'Visitor Economics'!$B$5*B711</f>
        <v>28925.1933130258</v>
      </c>
      <c r="H711" s="29" t="n">
        <f aca="false">MAX(0,'Visitor Economics'!$B$18*B711*C711*D711)</f>
        <v>719647.773702579</v>
      </c>
      <c r="I711" s="29" t="n">
        <f aca="false">H711*Controls!$B$52</f>
        <v>1021899.83865766</v>
      </c>
      <c r="J711" s="29" t="n">
        <f aca="false">'City Fiscal'!$B$5+(H711*Controls!$B$56*Controls!$B$55)+('City Fiscal'!$B$9*B711*F711)</f>
        <v>147820.670537205</v>
      </c>
      <c r="K711" s="29" t="n">
        <f aca="false">J711-('City Fiscal'!$B$13*E711)</f>
        <v>35937.625371845</v>
      </c>
      <c r="L711" s="30" t="n">
        <f aca="false">'Mobility &amp; Emissions'!$B$21*B711*F711</f>
        <v>86.3784706079784</v>
      </c>
    </row>
    <row r="712" customFormat="false" ht="15" hidden="false" customHeight="true" outlineLevel="0" collapsed="false">
      <c r="A712" s="14" t="n">
        <v>708</v>
      </c>
      <c r="B712" s="47" t="n">
        <v>0.936501497019408</v>
      </c>
      <c r="C712" s="47" t="n">
        <v>0.960872282582487</v>
      </c>
      <c r="D712" s="47" t="n">
        <v>0.960903565470667</v>
      </c>
      <c r="E712" s="47" t="n">
        <v>1.11225476414772</v>
      </c>
      <c r="F712" s="47" t="n">
        <v>0.951402662686933</v>
      </c>
      <c r="G712" s="27" t="n">
        <f aca="false">'Visitor Economics'!$B$5*B712</f>
        <v>30155.3482040249</v>
      </c>
      <c r="H712" s="29" t="n">
        <f aca="false">MAX(0,'Visitor Economics'!$B$18*B712*C712*D712)</f>
        <v>625674.731945117</v>
      </c>
      <c r="I712" s="29" t="n">
        <f aca="false">H712*Controls!$B$52</f>
        <v>888458.119362066</v>
      </c>
      <c r="J712" s="29" t="n">
        <f aca="false">'City Fiscal'!$B$5+(H712*Controls!$B$56*Controls!$B$55)+('City Fiscal'!$B$9*B712*F712)</f>
        <v>143551.659821258</v>
      </c>
      <c r="K712" s="29" t="n">
        <f aca="false">J712-('City Fiscal'!$B$13*E712)</f>
        <v>21203.635765009</v>
      </c>
      <c r="L712" s="30" t="n">
        <f aca="false">'Mobility &amp; Emissions'!$B$21*B712*F712</f>
        <v>83.1576130512634</v>
      </c>
    </row>
    <row r="713" customFormat="false" ht="15" hidden="false" customHeight="true" outlineLevel="0" collapsed="false">
      <c r="A713" s="14" t="n">
        <v>709</v>
      </c>
      <c r="B713" s="47" t="n">
        <v>0.871376145683652</v>
      </c>
      <c r="C713" s="47" t="n">
        <v>0.947385242473373</v>
      </c>
      <c r="D713" s="47" t="n">
        <v>0.863543401893866</v>
      </c>
      <c r="E713" s="47" t="n">
        <v>1.00278804640552</v>
      </c>
      <c r="F713" s="47" t="n">
        <v>0.978247806998794</v>
      </c>
      <c r="G713" s="27" t="n">
        <f aca="false">'Visitor Economics'!$B$5*B713</f>
        <v>28058.3118910136</v>
      </c>
      <c r="H713" s="29" t="n">
        <f aca="false">MAX(0,'Visitor Economics'!$B$18*B713*C713*D713)</f>
        <v>515835.375000661</v>
      </c>
      <c r="I713" s="29" t="n">
        <f aca="false">H713*Controls!$B$52</f>
        <v>732486.232500939</v>
      </c>
      <c r="J713" s="29" t="n">
        <f aca="false">'City Fiscal'!$B$5+(H713*Controls!$B$56*Controls!$B$55)+('City Fiscal'!$B$9*B713*F713)</f>
        <v>138749.404191091</v>
      </c>
      <c r="K713" s="29" t="n">
        <f aca="false">J713-('City Fiscal'!$B$13*E713)</f>
        <v>28442.7190864837</v>
      </c>
      <c r="L713" s="30" t="n">
        <f aca="false">'Mobility &amp; Emissions'!$B$21*B713*F713</f>
        <v>79.5579760457563</v>
      </c>
    </row>
    <row r="714" customFormat="false" ht="15" hidden="false" customHeight="true" outlineLevel="0" collapsed="false">
      <c r="A714" s="14" t="n">
        <v>710</v>
      </c>
      <c r="B714" s="47" t="n">
        <v>0.907589968257697</v>
      </c>
      <c r="C714" s="47" t="n">
        <v>0.87572252686302</v>
      </c>
      <c r="D714" s="47" t="n">
        <v>0.875660336608231</v>
      </c>
      <c r="E714" s="47" t="n">
        <v>0.967869875228188</v>
      </c>
      <c r="F714" s="47" t="n">
        <v>1.04277360399603</v>
      </c>
      <c r="G714" s="27" t="n">
        <f aca="false">'Visitor Economics'!$B$5*B714</f>
        <v>29224.3969778978</v>
      </c>
      <c r="H714" s="29" t="n">
        <f aca="false">MAX(0,'Visitor Economics'!$B$18*B714*C714*D714)</f>
        <v>503600.968461107</v>
      </c>
      <c r="I714" s="29" t="n">
        <f aca="false">H714*Controls!$B$52</f>
        <v>715113.375214771</v>
      </c>
      <c r="J714" s="29" t="n">
        <f aca="false">'City Fiscal'!$B$5+(H714*Controls!$B$56*Controls!$B$55)+('City Fiscal'!$B$9*B714*F714)</f>
        <v>148638.487301756</v>
      </c>
      <c r="K714" s="29" t="n">
        <f aca="false">J714-('City Fiscal'!$B$13*E714)</f>
        <v>42172.8010266551</v>
      </c>
      <c r="L714" s="30" t="n">
        <f aca="false">'Mobility &amp; Emissions'!$B$21*B714*F714</f>
        <v>88.3301346629925</v>
      </c>
    </row>
    <row r="715" customFormat="false" ht="15" hidden="false" customHeight="true" outlineLevel="0" collapsed="false">
      <c r="A715" s="14" t="n">
        <v>711</v>
      </c>
      <c r="B715" s="47" t="n">
        <v>0.92086373014885</v>
      </c>
      <c r="C715" s="47" t="n">
        <v>0.953996268604764</v>
      </c>
      <c r="D715" s="47" t="n">
        <v>1.08050442483652</v>
      </c>
      <c r="E715" s="47" t="n">
        <v>1.00585096764476</v>
      </c>
      <c r="F715" s="47" t="n">
        <v>1.01178820600253</v>
      </c>
      <c r="G715" s="27" t="n">
        <f aca="false">'Visitor Economics'!$B$5*B715</f>
        <v>29651.812110793</v>
      </c>
      <c r="H715" s="29" t="n">
        <f aca="false">MAX(0,'Visitor Economics'!$B$18*B715*C715*D715)</f>
        <v>686852.151828436</v>
      </c>
      <c r="I715" s="29" t="n">
        <f aca="false">H715*Controls!$B$52</f>
        <v>975330.055596379</v>
      </c>
      <c r="J715" s="29" t="n">
        <f aca="false">'City Fiscal'!$B$5+(H715*Controls!$B$56*Controls!$B$55)+('City Fiscal'!$B$9*B715*F715)</f>
        <v>148267.760957722</v>
      </c>
      <c r="K715" s="29" t="n">
        <f aca="false">J715-('City Fiscal'!$B$13*E715)</f>
        <v>37624.1545167987</v>
      </c>
      <c r="L715" s="30" t="n">
        <f aca="false">'Mobility &amp; Emissions'!$B$21*B715*F715</f>
        <v>86.9589239322092</v>
      </c>
    </row>
    <row r="716" customFormat="false" ht="15" hidden="false" customHeight="true" outlineLevel="0" collapsed="false">
      <c r="A716" s="14" t="n">
        <v>712</v>
      </c>
      <c r="B716" s="47" t="n">
        <v>0.920140098137441</v>
      </c>
      <c r="C716" s="47" t="n">
        <v>0.870645829048402</v>
      </c>
      <c r="D716" s="47" t="n">
        <v>0.897049134981853</v>
      </c>
      <c r="E716" s="47" t="n">
        <v>0.9352132804845</v>
      </c>
      <c r="F716" s="47" t="n">
        <v>1.08944011228544</v>
      </c>
      <c r="G716" s="27" t="n">
        <f aca="false">'Visitor Economics'!$B$5*B716</f>
        <v>29628.5111600256</v>
      </c>
      <c r="H716" s="29" t="n">
        <f aca="false">MAX(0,'Visitor Economics'!$B$18*B716*C716*D716)</f>
        <v>520003.638047029</v>
      </c>
      <c r="I716" s="29" t="n">
        <f aca="false">H716*Controls!$B$52</f>
        <v>738405.166026781</v>
      </c>
      <c r="J716" s="29" t="n">
        <f aca="false">'City Fiscal'!$B$5+(H716*Controls!$B$56*Controls!$B$55)+('City Fiscal'!$B$9*B716*F716)</f>
        <v>154686.895153858</v>
      </c>
      <c r="K716" s="29" t="n">
        <f aca="false">J716-('City Fiscal'!$B$13*E716)</f>
        <v>51813.4343005631</v>
      </c>
      <c r="L716" s="30" t="n">
        <f aca="false">'Mobility &amp; Emissions'!$B$21*B716*F716</f>
        <v>93.5591989897957</v>
      </c>
    </row>
    <row r="717" customFormat="false" ht="15" hidden="false" customHeight="true" outlineLevel="0" collapsed="false">
      <c r="A717" s="14" t="n">
        <v>713</v>
      </c>
      <c r="B717" s="47" t="n">
        <v>0.847474439604935</v>
      </c>
      <c r="C717" s="47" t="n">
        <v>1.04542118263206</v>
      </c>
      <c r="D717" s="47" t="n">
        <v>1.02378936806596</v>
      </c>
      <c r="E717" s="47" t="n">
        <v>0.890656209918166</v>
      </c>
      <c r="F717" s="47" t="n">
        <v>0.970840804366737</v>
      </c>
      <c r="G717" s="27" t="n">
        <f aca="false">'Visitor Economics'!$B$5*B717</f>
        <v>27288.6769552789</v>
      </c>
      <c r="H717" s="29" t="n">
        <f aca="false">MAX(0,'Visitor Economics'!$B$18*B717*C717*D717)</f>
        <v>656331.410105755</v>
      </c>
      <c r="I717" s="29" t="n">
        <f aca="false">H717*Controls!$B$52</f>
        <v>931990.602350172</v>
      </c>
      <c r="J717" s="29" t="n">
        <f aca="false">'City Fiscal'!$B$5+(H717*Controls!$B$56*Controls!$B$55)+('City Fiscal'!$B$9*B717*F717)</f>
        <v>136514.218112413</v>
      </c>
      <c r="K717" s="29" t="n">
        <f aca="false">J717-('City Fiscal'!$B$13*E717)</f>
        <v>38542.0350214146</v>
      </c>
      <c r="L717" s="30" t="n">
        <f aca="false">'Mobility &amp; Emissions'!$B$21*B717*F717</f>
        <v>76.7898477059363</v>
      </c>
    </row>
    <row r="718" customFormat="false" ht="15" hidden="false" customHeight="true" outlineLevel="0" collapsed="false">
      <c r="A718" s="14" t="n">
        <v>714</v>
      </c>
      <c r="B718" s="47" t="n">
        <v>0.943084461907882</v>
      </c>
      <c r="C718" s="47" t="n">
        <v>0.948650689854349</v>
      </c>
      <c r="D718" s="47" t="n">
        <v>1.00245959925701</v>
      </c>
      <c r="E718" s="47" t="n">
        <v>1.2373015749008</v>
      </c>
      <c r="F718" s="47" t="n">
        <v>1.02712811550237</v>
      </c>
      <c r="G718" s="27" t="n">
        <f aca="false">'Visitor Economics'!$B$5*B718</f>
        <v>30367.3196734338</v>
      </c>
      <c r="H718" s="29" t="n">
        <f aca="false">MAX(0,'Visitor Economics'!$B$18*B718*C718*D718)</f>
        <v>648960.80076169</v>
      </c>
      <c r="I718" s="29" t="n">
        <f aca="false">H718*Controls!$B$52</f>
        <v>921524.3370816</v>
      </c>
      <c r="J718" s="29" t="n">
        <f aca="false">'City Fiscal'!$B$5+(H718*Controls!$B$56*Controls!$B$55)+('City Fiscal'!$B$9*B718*F718)</f>
        <v>151941.04327581</v>
      </c>
      <c r="K718" s="29" t="n">
        <f aca="false">J718-('City Fiscal'!$B$13*E718)</f>
        <v>15837.8700367222</v>
      </c>
      <c r="L718" s="30" t="n">
        <f aca="false">'Mobility &amp; Emissions'!$B$21*B718*F718</f>
        <v>90.4074840124496</v>
      </c>
    </row>
    <row r="719" customFormat="false" ht="15" hidden="false" customHeight="true" outlineLevel="0" collapsed="false">
      <c r="A719" s="14" t="n">
        <v>715</v>
      </c>
      <c r="B719" s="47" t="n">
        <v>0.865878984623713</v>
      </c>
      <c r="C719" s="47" t="n">
        <v>1.05692861187511</v>
      </c>
      <c r="D719" s="47" t="n">
        <v>0.977568975297236</v>
      </c>
      <c r="E719" s="47" t="n">
        <v>1.01920517770106</v>
      </c>
      <c r="F719" s="47" t="n">
        <v>0.999774830996399</v>
      </c>
      <c r="G719" s="27" t="n">
        <f aca="false">'Visitor Economics'!$B$5*B719</f>
        <v>27881.3033048836</v>
      </c>
      <c r="H719" s="29" t="n">
        <f aca="false">MAX(0,'Visitor Economics'!$B$18*B719*C719*D719)</f>
        <v>647358.617487267</v>
      </c>
      <c r="I719" s="29" t="n">
        <f aca="false">H719*Controls!$B$52</f>
        <v>919249.236831919</v>
      </c>
      <c r="J719" s="29" t="n">
        <f aca="false">'City Fiscal'!$B$5+(H719*Controls!$B$56*Controls!$B$55)+('City Fiscal'!$B$9*B719*F719)</f>
        <v>141008.248421873</v>
      </c>
      <c r="K719" s="29" t="n">
        <f aca="false">J719-('City Fiscal'!$B$13*E719)</f>
        <v>28895.6788747561</v>
      </c>
      <c r="L719" s="30" t="n">
        <f aca="false">'Mobility &amp; Emissions'!$B$21*B719*F719</f>
        <v>80.7957608308886</v>
      </c>
    </row>
    <row r="720" customFormat="false" ht="15" hidden="false" customHeight="true" outlineLevel="0" collapsed="false">
      <c r="A720" s="14" t="n">
        <v>716</v>
      </c>
      <c r="B720" s="47" t="n">
        <v>0.945300602412068</v>
      </c>
      <c r="C720" s="47" t="n">
        <v>0.915953113550317</v>
      </c>
      <c r="D720" s="47" t="n">
        <v>1.0295771109889</v>
      </c>
      <c r="E720" s="47" t="n">
        <v>1.09224623617802</v>
      </c>
      <c r="F720" s="47" t="n">
        <v>1.02531038535628</v>
      </c>
      <c r="G720" s="27" t="n">
        <f aca="false">'Visitor Economics'!$B$5*B720</f>
        <v>30438.6793976686</v>
      </c>
      <c r="H720" s="29" t="n">
        <f aca="false">MAX(0,'Visitor Economics'!$B$18*B720*C720*D720)</f>
        <v>645054.971140645</v>
      </c>
      <c r="I720" s="29" t="n">
        <f aca="false">H720*Controls!$B$52</f>
        <v>915978.059019716</v>
      </c>
      <c r="J720" s="29" t="n">
        <f aca="false">'City Fiscal'!$B$5+(H720*Controls!$B$56*Controls!$B$55)+('City Fiscal'!$B$9*B720*F720)</f>
        <v>151974.909914615</v>
      </c>
      <c r="K720" s="29" t="n">
        <f aca="false">J720-('City Fiscal'!$B$13*E720)</f>
        <v>31827.8239350332</v>
      </c>
      <c r="L720" s="30" t="n">
        <f aca="false">'Mobility &amp; Emissions'!$B$21*B720*F720</f>
        <v>90.4595592574291</v>
      </c>
    </row>
    <row r="721" customFormat="false" ht="15" hidden="false" customHeight="true" outlineLevel="0" collapsed="false">
      <c r="A721" s="14" t="n">
        <v>717</v>
      </c>
      <c r="B721" s="47" t="n">
        <v>0.933120773484106</v>
      </c>
      <c r="C721" s="47" t="n">
        <v>0.976662056669763</v>
      </c>
      <c r="D721" s="47" t="n">
        <v>1.16362147257565</v>
      </c>
      <c r="E721" s="47" t="n">
        <v>0.974524755298302</v>
      </c>
      <c r="F721" s="47" t="n">
        <v>0.991906659463184</v>
      </c>
      <c r="G721" s="27" t="n">
        <f aca="false">'Visitor Economics'!$B$5*B721</f>
        <v>30046.4889061882</v>
      </c>
      <c r="H721" s="29" t="n">
        <f aca="false">MAX(0,'Visitor Economics'!$B$18*B721*C721*D721)</f>
        <v>767341.293814911</v>
      </c>
      <c r="I721" s="29" t="n">
        <f aca="false">H721*Controls!$B$52</f>
        <v>1089624.63721717</v>
      </c>
      <c r="J721" s="29" t="n">
        <f aca="false">'City Fiscal'!$B$5+(H721*Controls!$B$56*Controls!$B$55)+('City Fiscal'!$B$9*B721*F721)</f>
        <v>148137.031931638</v>
      </c>
      <c r="K721" s="29" t="n">
        <f aca="false">J721-('City Fiscal'!$B$13*E721)</f>
        <v>40939.3088488251</v>
      </c>
      <c r="L721" s="30" t="n">
        <f aca="false">'Mobility &amp; Emissions'!$B$21*B721*F721</f>
        <v>86.3849011059916</v>
      </c>
    </row>
    <row r="722" customFormat="false" ht="15" hidden="false" customHeight="true" outlineLevel="0" collapsed="false">
      <c r="A722" s="14" t="n">
        <v>718</v>
      </c>
      <c r="B722" s="47" t="n">
        <v>0.877942840473411</v>
      </c>
      <c r="C722" s="47" t="n">
        <v>1.02618102537333</v>
      </c>
      <c r="D722" s="47" t="n">
        <v>1.168521475222</v>
      </c>
      <c r="E722" s="47" t="n">
        <v>0.966026367482041</v>
      </c>
      <c r="F722" s="47" t="n">
        <v>1.09957679105809</v>
      </c>
      <c r="G722" s="27" t="n">
        <f aca="false">'Visitor Economics'!$B$5*B722</f>
        <v>28269.7594632438</v>
      </c>
      <c r="H722" s="29" t="n">
        <f aca="false">MAX(0,'Visitor Economics'!$B$18*B722*C722*D722)</f>
        <v>761766.008186106</v>
      </c>
      <c r="I722" s="29" t="n">
        <f aca="false">H722*Controls!$B$52</f>
        <v>1081707.73162427</v>
      </c>
      <c r="J722" s="29" t="n">
        <f aca="false">'City Fiscal'!$B$5+(H722*Controls!$B$56*Controls!$B$55)+('City Fiscal'!$B$9*B722*F722)</f>
        <v>152321.709513936</v>
      </c>
      <c r="K722" s="29" t="n">
        <f aca="false">J722-('City Fiscal'!$B$13*E722)</f>
        <v>46058.8090909119</v>
      </c>
      <c r="L722" s="30" t="n">
        <f aca="false">'Mobility &amp; Emissions'!$B$21*B722*F722</f>
        <v>90.0992098871836</v>
      </c>
    </row>
    <row r="723" customFormat="false" ht="15" hidden="false" customHeight="true" outlineLevel="0" collapsed="false">
      <c r="A723" s="14" t="n">
        <v>719</v>
      </c>
      <c r="B723" s="47" t="n">
        <v>0.87045219731991</v>
      </c>
      <c r="C723" s="47" t="n">
        <v>1.00751000044448</v>
      </c>
      <c r="D723" s="47" t="n">
        <v>1.08507198539969</v>
      </c>
      <c r="E723" s="47" t="n">
        <v>0.925021426385286</v>
      </c>
      <c r="F723" s="47" t="n">
        <v>1.11175735364805</v>
      </c>
      <c r="G723" s="27" t="n">
        <f aca="false">'Visitor Economics'!$B$5*B723</f>
        <v>28028.5607537011</v>
      </c>
      <c r="H723" s="29" t="n">
        <f aca="false">MAX(0,'Visitor Economics'!$B$18*B723*C723*D723)</f>
        <v>688569.072208041</v>
      </c>
      <c r="I723" s="29" t="n">
        <f aca="false">H723*Controls!$B$52</f>
        <v>977768.082535418</v>
      </c>
      <c r="J723" s="29" t="n">
        <f aca="false">'City Fiscal'!$B$5+(H723*Controls!$B$56*Controls!$B$55)+('City Fiscal'!$B$9*B723*F723)</f>
        <v>152098.334746419</v>
      </c>
      <c r="K723" s="29" t="n">
        <f aca="false">J723-('City Fiscal'!$B$13*E723)</f>
        <v>50345.977844038</v>
      </c>
      <c r="L723" s="30" t="n">
        <f aca="false">'Mobility &amp; Emissions'!$B$21*B723*F723</f>
        <v>90.32003829949</v>
      </c>
    </row>
    <row r="724" customFormat="false" ht="15" hidden="false" customHeight="true" outlineLevel="0" collapsed="false">
      <c r="A724" s="14" t="n">
        <v>720</v>
      </c>
      <c r="B724" s="47" t="n">
        <v>0.91300526305376</v>
      </c>
      <c r="C724" s="47" t="n">
        <v>0.893668174946852</v>
      </c>
      <c r="D724" s="47" t="n">
        <v>1.00895280545088</v>
      </c>
      <c r="E724" s="47" t="n">
        <v>1.07728274550584</v>
      </c>
      <c r="F724" s="47" t="n">
        <v>0.971952859745067</v>
      </c>
      <c r="G724" s="27" t="n">
        <f aca="false">'Visitor Economics'!$B$5*B724</f>
        <v>29398.7694703311</v>
      </c>
      <c r="H724" s="29" t="n">
        <f aca="false">MAX(0,'Visitor Economics'!$B$18*B724*C724*D724)</f>
        <v>595682.847774797</v>
      </c>
      <c r="I724" s="29" t="n">
        <f aca="false">H724*Controls!$B$52</f>
        <v>845869.643840212</v>
      </c>
      <c r="J724" s="29" t="n">
        <f aca="false">'City Fiscal'!$B$5+(H724*Controls!$B$56*Controls!$B$55)+('City Fiscal'!$B$9*B724*F724)</f>
        <v>142976.355587633</v>
      </c>
      <c r="K724" s="29" t="n">
        <f aca="false">J724-('City Fiscal'!$B$13*E724)</f>
        <v>24475.2535819903</v>
      </c>
      <c r="L724" s="30" t="n">
        <f aca="false">'Mobility &amp; Emissions'!$B$21*B724*F724</f>
        <v>82.8223710459658</v>
      </c>
    </row>
    <row r="725" customFormat="false" ht="15" hidden="false" customHeight="true" outlineLevel="0" collapsed="false">
      <c r="A725" s="14" t="n">
        <v>721</v>
      </c>
      <c r="B725" s="47" t="n">
        <v>0.939278255717558</v>
      </c>
      <c r="C725" s="47" t="n">
        <v>0.974929016004104</v>
      </c>
      <c r="D725" s="47" t="n">
        <v>0.938349297440816</v>
      </c>
      <c r="E725" s="47" t="n">
        <v>1.09156625990655</v>
      </c>
      <c r="F725" s="47" t="n">
        <v>0.968014829576626</v>
      </c>
      <c r="G725" s="27" t="n">
        <f aca="false">'Visitor Economics'!$B$5*B725</f>
        <v>30244.7598341054</v>
      </c>
      <c r="H725" s="29" t="n">
        <f aca="false">MAX(0,'Visitor Economics'!$B$18*B725*C725*D725)</f>
        <v>621765.280661432</v>
      </c>
      <c r="I725" s="29" t="n">
        <f aca="false">H725*Controls!$B$52</f>
        <v>882906.698539233</v>
      </c>
      <c r="J725" s="29" t="n">
        <f aca="false">'City Fiscal'!$B$5+(H725*Controls!$B$56*Controls!$B$55)+('City Fiscal'!$B$9*B725*F725)</f>
        <v>145461.39633857</v>
      </c>
      <c r="K725" s="29" t="n">
        <f aca="false">J725-('City Fiscal'!$B$13*E725)</f>
        <v>25389.1077488498</v>
      </c>
      <c r="L725" s="30" t="n">
        <f aca="false">'Mobility &amp; Emissions'!$B$21*B725*F725</f>
        <v>84.8604744414981</v>
      </c>
    </row>
    <row r="726" customFormat="false" ht="15" hidden="false" customHeight="true" outlineLevel="0" collapsed="false">
      <c r="A726" s="14" t="n">
        <v>722</v>
      </c>
      <c r="B726" s="47" t="n">
        <v>0.886647081535315</v>
      </c>
      <c r="C726" s="47" t="n">
        <v>0.890675313936339</v>
      </c>
      <c r="D726" s="47" t="n">
        <v>0.901385748751655</v>
      </c>
      <c r="E726" s="47" t="n">
        <v>1.19973818546849</v>
      </c>
      <c r="F726" s="47" t="n">
        <v>0.974509035816683</v>
      </c>
      <c r="G726" s="27" t="n">
        <f aca="false">'Visitor Economics'!$B$5*B726</f>
        <v>28550.0360254371</v>
      </c>
      <c r="H726" s="29" t="n">
        <f aca="false">MAX(0,'Visitor Economics'!$B$18*B726*C726*D726)</f>
        <v>515081.037044421</v>
      </c>
      <c r="I726" s="29" t="n">
        <f aca="false">H726*Controls!$B$52</f>
        <v>731415.072603077</v>
      </c>
      <c r="J726" s="29" t="n">
        <f aca="false">'City Fiscal'!$B$5+(H726*Controls!$B$56*Controls!$B$55)+('City Fiscal'!$B$9*B726*F726)</f>
        <v>139977.320607495</v>
      </c>
      <c r="K726" s="29" t="n">
        <f aca="false">J726-('City Fiscal'!$B$13*E726)</f>
        <v>8006.12020596096</v>
      </c>
      <c r="L726" s="30" t="n">
        <f aca="false">'Mobility &amp; Emissions'!$B$21*B726*F726</f>
        <v>80.6428440289534</v>
      </c>
    </row>
    <row r="727" customFormat="false" ht="15" hidden="false" customHeight="true" outlineLevel="0" collapsed="false">
      <c r="A727" s="14" t="n">
        <v>723</v>
      </c>
      <c r="B727" s="47" t="n">
        <v>0.964682733256243</v>
      </c>
      <c r="C727" s="47" t="n">
        <v>0.932049096381899</v>
      </c>
      <c r="D727" s="47" t="n">
        <v>0.925769338339721</v>
      </c>
      <c r="E727" s="47" t="n">
        <v>1.18566688255649</v>
      </c>
      <c r="F727" s="47" t="n">
        <v>0.918245878996464</v>
      </c>
      <c r="G727" s="27" t="n">
        <f aca="false">'Visitor Economics'!$B$5*B727</f>
        <v>31062.784010851</v>
      </c>
      <c r="H727" s="29" t="n">
        <f aca="false">MAX(0,'Visitor Economics'!$B$18*B727*C727*D727)</f>
        <v>602310.948026651</v>
      </c>
      <c r="I727" s="29" t="n">
        <f aca="false">H727*Controls!$B$52</f>
        <v>855281.546197844</v>
      </c>
      <c r="J727" s="29" t="n">
        <f aca="false">'City Fiscal'!$B$5+(H727*Controls!$B$56*Controls!$B$55)+('City Fiscal'!$B$9*B727*F727)</f>
        <v>142851.506731212</v>
      </c>
      <c r="K727" s="29" t="n">
        <f aca="false">J727-('City Fiscal'!$B$13*E727)</f>
        <v>12428.149649998</v>
      </c>
      <c r="L727" s="30" t="n">
        <f aca="false">'Mobility &amp; Emissions'!$B$21*B727*F727</f>
        <v>82.6747079734393</v>
      </c>
    </row>
    <row r="728" customFormat="false" ht="15" hidden="false" customHeight="true" outlineLevel="0" collapsed="false">
      <c r="A728" s="14" t="n">
        <v>724</v>
      </c>
      <c r="B728" s="47" t="n">
        <v>0.828323907126804</v>
      </c>
      <c r="C728" s="47" t="n">
        <v>1.04663788443618</v>
      </c>
      <c r="D728" s="47" t="n">
        <v>1.19973818546849</v>
      </c>
      <c r="E728" s="47" t="n">
        <v>1.02606083415356</v>
      </c>
      <c r="F728" s="47" t="n">
        <v>1.04193751807403</v>
      </c>
      <c r="G728" s="27" t="n">
        <f aca="false">'Visitor Economics'!$B$5*B728</f>
        <v>26672.0298094831</v>
      </c>
      <c r="H728" s="29" t="n">
        <f aca="false">MAX(0,'Visitor Economics'!$B$18*B728*C728*D728)</f>
        <v>752623.540725476</v>
      </c>
      <c r="I728" s="29" t="n">
        <f aca="false">H728*Controls!$B$52</f>
        <v>1068725.42783018</v>
      </c>
      <c r="J728" s="29" t="n">
        <f aca="false">'City Fiscal'!$B$5+(H728*Controls!$B$56*Controls!$B$55)+('City Fiscal'!$B$9*B728*F728)</f>
        <v>141412.25155309</v>
      </c>
      <c r="K728" s="29" t="n">
        <f aca="false">J728-('City Fiscal'!$B$13*E728)</f>
        <v>28545.5597961988</v>
      </c>
      <c r="L728" s="30" t="n">
        <f aca="false">'Mobility &amp; Emissions'!$B$21*B728*F728</f>
        <v>80.5510208880866</v>
      </c>
    </row>
    <row r="729" customFormat="false" ht="15" hidden="false" customHeight="true" outlineLevel="0" collapsed="false">
      <c r="A729" s="14" t="n">
        <v>725</v>
      </c>
      <c r="B729" s="47" t="n">
        <v>0.965118309063951</v>
      </c>
      <c r="C729" s="47" t="n">
        <v>1.01616359020074</v>
      </c>
      <c r="D729" s="47" t="n">
        <v>0.934046421574797</v>
      </c>
      <c r="E729" s="47" t="n">
        <v>1.0389105639782</v>
      </c>
      <c r="F729" s="47" t="n">
        <v>1.09209922280314</v>
      </c>
      <c r="G729" s="27" t="n">
        <f aca="false">'Visitor Economics'!$B$5*B729</f>
        <v>31076.8095518592</v>
      </c>
      <c r="H729" s="29" t="n">
        <f aca="false">MAX(0,'Visitor Economics'!$B$18*B729*C729*D729)</f>
        <v>662837.872863525</v>
      </c>
      <c r="I729" s="29" t="n">
        <f aca="false">H729*Controls!$B$52</f>
        <v>941229.779466205</v>
      </c>
      <c r="J729" s="29" t="n">
        <f aca="false">'City Fiscal'!$B$5+(H729*Controls!$B$56*Controls!$B$55)+('City Fiscal'!$B$9*B729*F729)</f>
        <v>161081.637462909</v>
      </c>
      <c r="K729" s="29" t="n">
        <f aca="false">J729-('City Fiscal'!$B$13*E729)</f>
        <v>46801.4754253072</v>
      </c>
      <c r="L729" s="30" t="n">
        <f aca="false">'Mobility &amp; Emissions'!$B$21*B729*F729</f>
        <v>98.3720742811431</v>
      </c>
    </row>
    <row r="730" customFormat="false" ht="15" hidden="false" customHeight="true" outlineLevel="0" collapsed="false">
      <c r="A730" s="14" t="n">
        <v>726</v>
      </c>
      <c r="B730" s="47" t="n">
        <v>0.825086583370222</v>
      </c>
      <c r="C730" s="47" t="n">
        <v>1.00719042593822</v>
      </c>
      <c r="D730" s="47" t="n">
        <v>1.01263688155065</v>
      </c>
      <c r="E730" s="47" t="n">
        <v>0.95868633674591</v>
      </c>
      <c r="F730" s="47" t="n">
        <v>1.12826293488072</v>
      </c>
      <c r="G730" s="27" t="n">
        <f aca="false">'Visitor Economics'!$B$5*B730</f>
        <v>26567.7879845212</v>
      </c>
      <c r="H730" s="29" t="n">
        <f aca="false">MAX(0,'Visitor Economics'!$B$18*B730*C730*D730)</f>
        <v>608918.998589841</v>
      </c>
      <c r="I730" s="29" t="n">
        <f aca="false">H730*Controls!$B$52</f>
        <v>864664.977997574</v>
      </c>
      <c r="J730" s="29" t="n">
        <f aca="false">'City Fiscal'!$B$5+(H730*Controls!$B$56*Controls!$B$55)+('City Fiscal'!$B$9*B730*F730)</f>
        <v>147677.435013108</v>
      </c>
      <c r="K730" s="29" t="n">
        <f aca="false">J730-('City Fiscal'!$B$13*E730)</f>
        <v>42221.9379710578</v>
      </c>
      <c r="L730" s="30" t="n">
        <f aca="false">'Mobility &amp; Emissions'!$B$21*B730*F730</f>
        <v>86.8838431139762</v>
      </c>
    </row>
    <row r="731" customFormat="false" ht="15" hidden="false" customHeight="true" outlineLevel="0" collapsed="false">
      <c r="A731" s="14" t="n">
        <v>727</v>
      </c>
      <c r="B731" s="47" t="n">
        <v>0.927891368482644</v>
      </c>
      <c r="C731" s="47" t="n">
        <v>0.933960519479335</v>
      </c>
      <c r="D731" s="47" t="n">
        <v>1.15035688684109</v>
      </c>
      <c r="E731" s="47" t="n">
        <v>1.03562591108065</v>
      </c>
      <c r="F731" s="47" t="n">
        <v>1.04048972650934</v>
      </c>
      <c r="G731" s="27" t="n">
        <f aca="false">'Visitor Economics'!$B$5*B731</f>
        <v>29878.1020651411</v>
      </c>
      <c r="H731" s="29" t="n">
        <f aca="false">MAX(0,'Visitor Economics'!$B$18*B731*C731*D731)</f>
        <v>721361.432750556</v>
      </c>
      <c r="I731" s="29" t="n">
        <f aca="false">H731*Controls!$B$52</f>
        <v>1024333.23450579</v>
      </c>
      <c r="J731" s="29" t="n">
        <f aca="false">'City Fiscal'!$B$5+(H731*Controls!$B$56*Controls!$B$55)+('City Fiscal'!$B$9*B731*F731)</f>
        <v>152070.055183227</v>
      </c>
      <c r="K731" s="29" t="n">
        <f aca="false">J731-('City Fiscal'!$B$13*E731)</f>
        <v>38151.2049643558</v>
      </c>
      <c r="L731" s="30" t="n">
        <f aca="false">'Mobility &amp; Emissions'!$B$21*B731*F731</f>
        <v>90.1081571271233</v>
      </c>
    </row>
    <row r="732" customFormat="false" ht="15" hidden="false" customHeight="true" outlineLevel="0" collapsed="false">
      <c r="A732" s="14" t="n">
        <v>728</v>
      </c>
      <c r="B732" s="47" t="n">
        <v>0.938685794598976</v>
      </c>
      <c r="C732" s="47" t="n">
        <v>0.881700891403609</v>
      </c>
      <c r="D732" s="47" t="n">
        <v>0.915856173948776</v>
      </c>
      <c r="E732" s="47" t="n">
        <v>0.901823590730302</v>
      </c>
      <c r="F732" s="47" t="n">
        <v>0.981196417634019</v>
      </c>
      <c r="G732" s="27" t="n">
        <f aca="false">'Visitor Economics'!$B$5*B732</f>
        <v>30225.682586087</v>
      </c>
      <c r="H732" s="29" t="n">
        <f aca="false">MAX(0,'Visitor Economics'!$B$18*B732*C732*D732)</f>
        <v>548483.380291878</v>
      </c>
      <c r="I732" s="29" t="n">
        <f aca="false">H732*Controls!$B$52</f>
        <v>778846.400014467</v>
      </c>
      <c r="J732" s="29" t="n">
        <f aca="false">'City Fiscal'!$B$5+(H732*Controls!$B$56*Controls!$B$55)+('City Fiscal'!$B$9*B732*F732)</f>
        <v>146238.007846817</v>
      </c>
      <c r="K732" s="29" t="n">
        <f aca="false">J732-('City Fiscal'!$B$13*E732)</f>
        <v>47037.4128664837</v>
      </c>
      <c r="L732" s="30" t="n">
        <f aca="false">'Mobility &amp; Emissions'!$B$21*B732*F732</f>
        <v>85.9617752774225</v>
      </c>
    </row>
    <row r="733" customFormat="false" ht="15" hidden="false" customHeight="true" outlineLevel="0" collapsed="false">
      <c r="A733" s="14" t="n">
        <v>729</v>
      </c>
      <c r="B733" s="47" t="n">
        <v>0.829355850717012</v>
      </c>
      <c r="C733" s="47" t="n">
        <v>1.00497826292392</v>
      </c>
      <c r="D733" s="47" t="n">
        <v>1.04822351474961</v>
      </c>
      <c r="E733" s="47" t="n">
        <v>0.995403819798772</v>
      </c>
      <c r="F733" s="47" t="n">
        <v>0.907900777196856</v>
      </c>
      <c r="G733" s="27" t="n">
        <f aca="false">'Visitor Economics'!$B$5*B733</f>
        <v>26705.2583930878</v>
      </c>
      <c r="H733" s="29" t="n">
        <f aca="false">MAX(0,'Visitor Economics'!$B$18*B733*C733*D733)</f>
        <v>632187.855441469</v>
      </c>
      <c r="I733" s="29" t="n">
        <f aca="false">H733*Controls!$B$52</f>
        <v>897706.754726886</v>
      </c>
      <c r="J733" s="29" t="n">
        <f aca="false">'City Fiscal'!$B$5+(H733*Controls!$B$56*Controls!$B$55)+('City Fiscal'!$B$9*B733*F733)</f>
        <v>128955.933529026</v>
      </c>
      <c r="K733" s="29" t="n">
        <f aca="false">J733-('City Fiscal'!$B$13*E733)</f>
        <v>19461.5133511613</v>
      </c>
      <c r="L733" s="30" t="n">
        <f aca="false">'Mobility &amp; Emissions'!$B$21*B733*F733</f>
        <v>70.2762334786736</v>
      </c>
    </row>
    <row r="734" customFormat="false" ht="15" hidden="false" customHeight="true" outlineLevel="0" collapsed="false">
      <c r="A734" s="14" t="n">
        <v>730</v>
      </c>
      <c r="B734" s="47" t="n">
        <v>0.795874507866388</v>
      </c>
      <c r="C734" s="47" t="n">
        <v>0.864395945760846</v>
      </c>
      <c r="D734" s="47" t="n">
        <v>1.06780847988998</v>
      </c>
      <c r="E734" s="47" t="n">
        <v>1.00105472488918</v>
      </c>
      <c r="F734" s="47" t="n">
        <v>0.979643742617991</v>
      </c>
      <c r="G734" s="27" t="n">
        <f aca="false">'Visitor Economics'!$B$5*B734</f>
        <v>25627.1591532977</v>
      </c>
      <c r="H734" s="29" t="n">
        <f aca="false">MAX(0,'Visitor Economics'!$B$18*B734*C734*D734)</f>
        <v>531551.503129864</v>
      </c>
      <c r="I734" s="29" t="n">
        <f aca="false">H734*Controls!$B$52</f>
        <v>754803.134444406</v>
      </c>
      <c r="J734" s="29" t="n">
        <f aca="false">'City Fiscal'!$B$5+(H734*Controls!$B$56*Controls!$B$55)+('City Fiscal'!$B$9*B734*F734)</f>
        <v>131135.648600613</v>
      </c>
      <c r="K734" s="29" t="n">
        <f aca="false">J734-('City Fiscal'!$B$13*E734)</f>
        <v>21019.6288628031</v>
      </c>
      <c r="L734" s="30" t="n">
        <f aca="false">'Mobility &amp; Emissions'!$B$21*B734*F734</f>
        <v>72.7682514770916</v>
      </c>
    </row>
    <row r="735" customFormat="false" ht="15" hidden="false" customHeight="true" outlineLevel="0" collapsed="false">
      <c r="A735" s="14" t="n">
        <v>731</v>
      </c>
      <c r="B735" s="47" t="n">
        <v>0.992071519912462</v>
      </c>
      <c r="C735" s="47" t="n">
        <v>0.993040457697037</v>
      </c>
      <c r="D735" s="47" t="n">
        <v>1.07471095299478</v>
      </c>
      <c r="E735" s="47" t="n">
        <v>0.971999671052276</v>
      </c>
      <c r="F735" s="47" t="n">
        <v>1.07455134196024</v>
      </c>
      <c r="G735" s="27" t="n">
        <f aca="false">'Visitor Economics'!$B$5*B735</f>
        <v>31944.7029411813</v>
      </c>
      <c r="H735" s="29" t="n">
        <f aca="false">MAX(0,'Visitor Economics'!$B$18*B735*C735*D735)</f>
        <v>766119.063966264</v>
      </c>
      <c r="I735" s="29" t="n">
        <f aca="false">H735*Controls!$B$52</f>
        <v>1087889.07083209</v>
      </c>
      <c r="J735" s="29" t="n">
        <f aca="false">'City Fiscal'!$B$5+(H735*Controls!$B$56*Controls!$B$55)+('City Fiscal'!$B$9*B735*F735)</f>
        <v>163026.449904257</v>
      </c>
      <c r="K735" s="29" t="n">
        <f aca="false">J735-('City Fiscal'!$B$13*E735)</f>
        <v>56106.4860885067</v>
      </c>
      <c r="L735" s="30" t="n">
        <f aca="false">'Mobility &amp; Emissions'!$B$21*B735*F735</f>
        <v>99.494558565385</v>
      </c>
    </row>
    <row r="736" customFormat="false" ht="15" hidden="false" customHeight="true" outlineLevel="0" collapsed="false">
      <c r="A736" s="14" t="n">
        <v>732</v>
      </c>
      <c r="B736" s="47" t="n">
        <v>0.9401751918261</v>
      </c>
      <c r="C736" s="47" t="n">
        <v>0.984234588318052</v>
      </c>
      <c r="D736" s="47" t="n">
        <v>1.07139078971117</v>
      </c>
      <c r="E736" s="47" t="n">
        <v>1.15412899291235</v>
      </c>
      <c r="F736" s="47" t="n">
        <v>0.92146677549743</v>
      </c>
      <c r="G736" s="27" t="n">
        <f aca="false">'Visitor Economics'!$B$5*B736</f>
        <v>30273.6411768004</v>
      </c>
      <c r="H736" s="29" t="n">
        <f aca="false">MAX(0,'Visitor Economics'!$B$18*B736*C736*D736)</f>
        <v>717381.195821022</v>
      </c>
      <c r="I736" s="29" t="n">
        <f aca="false">H736*Controls!$B$52</f>
        <v>1018681.29806585</v>
      </c>
      <c r="J736" s="29" t="n">
        <f aca="false">'City Fiscal'!$B$5+(H736*Controls!$B$56*Controls!$B$55)+('City Fiscal'!$B$9*B736*F736)</f>
        <v>141531.589091768</v>
      </c>
      <c r="K736" s="29" t="n">
        <f aca="false">J736-('City Fiscal'!$B$13*E736)</f>
        <v>14577.3998714091</v>
      </c>
      <c r="L736" s="30" t="n">
        <f aca="false">'Mobility &amp; Emissions'!$B$21*B736*F736</f>
        <v>80.8570038697056</v>
      </c>
    </row>
    <row r="737" customFormat="false" ht="15" hidden="false" customHeight="true" outlineLevel="0" collapsed="false">
      <c r="A737" s="14" t="n">
        <v>733</v>
      </c>
      <c r="B737" s="47" t="n">
        <v>0.868953920655584</v>
      </c>
      <c r="C737" s="47" t="n">
        <v>1.00639542262743</v>
      </c>
      <c r="D737" s="47" t="n">
        <v>0.909224997581737</v>
      </c>
      <c r="E737" s="47" t="n">
        <v>0.994740664986717</v>
      </c>
      <c r="F737" s="47" t="n">
        <v>1.0468375068157</v>
      </c>
      <c r="G737" s="27" t="n">
        <f aca="false">'Visitor Economics'!$B$5*B737</f>
        <v>27980.3162451098</v>
      </c>
      <c r="H737" s="29" t="n">
        <f aca="false">MAX(0,'Visitor Economics'!$B$18*B737*C737*D737)</f>
        <v>575349.098360039</v>
      </c>
      <c r="I737" s="29" t="n">
        <f aca="false">H737*Controls!$B$52</f>
        <v>816995.719671256</v>
      </c>
      <c r="J737" s="29" t="n">
        <f aca="false">'City Fiscal'!$B$5+(H737*Controls!$B$56*Controls!$B$55)+('City Fiscal'!$B$9*B737*F737)</f>
        <v>145204.981222481</v>
      </c>
      <c r="K737" s="29" t="n">
        <f aca="false">J737-('City Fiscal'!$B$13*E737)</f>
        <v>35783.5080739424</v>
      </c>
      <c r="L737" s="30" t="n">
        <f aca="false">'Mobility &amp; Emissions'!$B$21*B737*F737</f>
        <v>84.8995127772953</v>
      </c>
    </row>
    <row r="738" customFormat="false" ht="15" hidden="false" customHeight="true" outlineLevel="0" collapsed="false">
      <c r="A738" s="14" t="n">
        <v>734</v>
      </c>
      <c r="B738" s="47" t="n">
        <v>0.918086929142479</v>
      </c>
      <c r="C738" s="47" t="n">
        <v>0.952374468837461</v>
      </c>
      <c r="D738" s="47" t="n">
        <v>0.958312927181402</v>
      </c>
      <c r="E738" s="47" t="n">
        <v>0.980422878667602</v>
      </c>
      <c r="F738" s="47" t="n">
        <v>1.09739296624975</v>
      </c>
      <c r="G738" s="27" t="n">
        <f aca="false">'Visitor Economics'!$B$5*B738</f>
        <v>29562.3991183878</v>
      </c>
      <c r="H738" s="29" t="n">
        <f aca="false">MAX(0,'Visitor Economics'!$B$18*B738*C738*D738)</f>
        <v>606308.371749315</v>
      </c>
      <c r="I738" s="29" t="n">
        <f aca="false">H738*Controls!$B$52</f>
        <v>860957.887884027</v>
      </c>
      <c r="J738" s="29" t="n">
        <f aca="false">'City Fiscal'!$B$5+(H738*Controls!$B$56*Controls!$B$55)+('City Fiscal'!$B$9*B738*F738)</f>
        <v>155783.295674929</v>
      </c>
      <c r="K738" s="29" t="n">
        <f aca="false">J738-('City Fiscal'!$B$13*E738)</f>
        <v>47936.7790214927</v>
      </c>
      <c r="L738" s="30" t="n">
        <f aca="false">'Mobility &amp; Emissions'!$B$21*B738*F738</f>
        <v>94.0318873348742</v>
      </c>
    </row>
    <row r="739" customFormat="false" ht="15" hidden="false" customHeight="true" outlineLevel="0" collapsed="false">
      <c r="A739" s="14" t="n">
        <v>735</v>
      </c>
      <c r="B739" s="47" t="n">
        <v>0.922327076423402</v>
      </c>
      <c r="C739" s="47" t="n">
        <v>0.965027583583262</v>
      </c>
      <c r="D739" s="47" t="n">
        <v>0.955389566394356</v>
      </c>
      <c r="E739" s="47" t="n">
        <v>1.04590137188114</v>
      </c>
      <c r="F739" s="47" t="n">
        <v>1.07884875264621</v>
      </c>
      <c r="G739" s="27" t="n">
        <f aca="false">'Visitor Economics'!$B$5*B739</f>
        <v>29698.9318608335</v>
      </c>
      <c r="H739" s="29" t="n">
        <f aca="false">MAX(0,'Visitor Economics'!$B$18*B739*C739*D739)</f>
        <v>615318.324793941</v>
      </c>
      <c r="I739" s="29" t="n">
        <f aca="false">H739*Controls!$B$52</f>
        <v>873752.021207397</v>
      </c>
      <c r="J739" s="29" t="n">
        <f aca="false">'City Fiscal'!$B$5+(H739*Controls!$B$56*Controls!$B$55)+('City Fiscal'!$B$9*B739*F739)</f>
        <v>154521.172104059</v>
      </c>
      <c r="K739" s="29" t="n">
        <f aca="false">J739-('City Fiscal'!$B$13*E739)</f>
        <v>39472.0211971338</v>
      </c>
      <c r="L739" s="30" t="n">
        <f aca="false">'Mobility &amp; Emissions'!$B$21*B739*F739</f>
        <v>92.8698402362672</v>
      </c>
    </row>
    <row r="740" customFormat="false" ht="15" hidden="false" customHeight="true" outlineLevel="0" collapsed="false">
      <c r="A740" s="14" t="n">
        <v>736</v>
      </c>
      <c r="B740" s="47" t="n">
        <v>0.806877499883732</v>
      </c>
      <c r="C740" s="47" t="n">
        <v>0.991787659626645</v>
      </c>
      <c r="D740" s="47" t="n">
        <v>1.02146389781919</v>
      </c>
      <c r="E740" s="47" t="n">
        <v>1.04563818849893</v>
      </c>
      <c r="F740" s="47" t="n">
        <v>1.09407594435308</v>
      </c>
      <c r="G740" s="27" t="n">
        <f aca="false">'Visitor Economics'!$B$5*B740</f>
        <v>25981.4554962562</v>
      </c>
      <c r="H740" s="29" t="n">
        <f aca="false">MAX(0,'Visitor Economics'!$B$18*B740*C740*D740)</f>
        <v>591485.355817455</v>
      </c>
      <c r="I740" s="29" t="n">
        <f aca="false">H740*Controls!$B$52</f>
        <v>839909.205260786</v>
      </c>
      <c r="J740" s="29" t="n">
        <f aca="false">'City Fiscal'!$B$5+(H740*Controls!$B$56*Controls!$B$55)+('City Fiscal'!$B$9*B740*F740)</f>
        <v>142459.926582108</v>
      </c>
      <c r="K740" s="29" t="n">
        <f aca="false">J740-('City Fiscal'!$B$13*E740)</f>
        <v>27439.7258472261</v>
      </c>
      <c r="L740" s="30" t="n">
        <f aca="false">'Mobility &amp; Emissions'!$B$21*B740*F740</f>
        <v>82.391849299242</v>
      </c>
    </row>
    <row r="741" customFormat="false" ht="15" hidden="false" customHeight="true" outlineLevel="0" collapsed="false">
      <c r="A741" s="14" t="n">
        <v>737</v>
      </c>
      <c r="B741" s="47" t="n">
        <v>0.887899953660787</v>
      </c>
      <c r="C741" s="47" t="n">
        <v>1.06891184090222</v>
      </c>
      <c r="D741" s="47" t="n">
        <v>1.02352980328529</v>
      </c>
      <c r="E741" s="47" t="n">
        <v>1.13384815972185</v>
      </c>
      <c r="F741" s="47" t="n">
        <v>1.07759488968312</v>
      </c>
      <c r="G741" s="27" t="n">
        <f aca="false">'Visitor Economics'!$B$5*B741</f>
        <v>28590.3785078773</v>
      </c>
      <c r="H741" s="29" t="n">
        <f aca="false">MAX(0,'Visitor Economics'!$B$18*B741*C741*D741)</f>
        <v>702912.20448588</v>
      </c>
      <c r="I741" s="29" t="n">
        <f aca="false">H741*Controls!$B$52</f>
        <v>998135.33036995</v>
      </c>
      <c r="J741" s="29" t="n">
        <f aca="false">'City Fiscal'!$B$5+(H741*Controls!$B$56*Controls!$B$55)+('City Fiscal'!$B$9*B741*F741)</f>
        <v>151031.506853822</v>
      </c>
      <c r="K741" s="29" t="n">
        <f aca="false">J741-('City Fiscal'!$B$13*E741)</f>
        <v>26308.2092844189</v>
      </c>
      <c r="L741" s="30" t="n">
        <f aca="false">'Mobility &amp; Emissions'!$B$21*B741*F741</f>
        <v>89.2994394765034</v>
      </c>
    </row>
    <row r="742" customFormat="false" ht="15" hidden="false" customHeight="true" outlineLevel="0" collapsed="false">
      <c r="A742" s="14" t="n">
        <v>738</v>
      </c>
      <c r="B742" s="47" t="n">
        <v>0.955657168231418</v>
      </c>
      <c r="C742" s="47" t="n">
        <v>0.954799851631966</v>
      </c>
      <c r="D742" s="47" t="n">
        <v>0.862922252743157</v>
      </c>
      <c r="E742" s="47" t="n">
        <v>1.034375905799</v>
      </c>
      <c r="F742" s="47" t="n">
        <v>0.902177581392778</v>
      </c>
      <c r="G742" s="27" t="n">
        <f aca="false">'Visitor Economics'!$B$5*B742</f>
        <v>30772.1608170517</v>
      </c>
      <c r="H742" s="29" t="n">
        <f aca="false">MAX(0,'Visitor Economics'!$B$18*B742*C742*D742)</f>
        <v>569745.367519677</v>
      </c>
      <c r="I742" s="29" t="n">
        <f aca="false">H742*Controls!$B$52</f>
        <v>809038.421877941</v>
      </c>
      <c r="J742" s="29" t="n">
        <f aca="false">'City Fiscal'!$B$5+(H742*Controls!$B$56*Controls!$B$55)+('City Fiscal'!$B$9*B742*F742)</f>
        <v>140132.884717921</v>
      </c>
      <c r="K742" s="29" t="n">
        <f aca="false">J742-('City Fiscal'!$B$13*E742)</f>
        <v>26351.5350800306</v>
      </c>
      <c r="L742" s="30" t="n">
        <f aca="false">'Mobility &amp; Emissions'!$B$21*B742*F742</f>
        <v>80.4680225680259</v>
      </c>
    </row>
    <row r="743" customFormat="false" ht="15" hidden="false" customHeight="true" outlineLevel="0" collapsed="false">
      <c r="A743" s="14" t="n">
        <v>739</v>
      </c>
      <c r="B743" s="47" t="n">
        <v>0.868004545337159</v>
      </c>
      <c r="C743" s="47" t="n">
        <v>1.07333095244169</v>
      </c>
      <c r="D743" s="47" t="n">
        <v>1.07073413598791</v>
      </c>
      <c r="E743" s="47" t="n">
        <v>1.14101032158961</v>
      </c>
      <c r="F743" s="47" t="n">
        <v>0.972137217914934</v>
      </c>
      <c r="G743" s="27" t="n">
        <f aca="false">'Visitor Economics'!$B$5*B743</f>
        <v>27949.7463598565</v>
      </c>
      <c r="H743" s="29" t="n">
        <f aca="false">MAX(0,'Visitor Economics'!$B$18*B743*C743*D743)</f>
        <v>721825.085823454</v>
      </c>
      <c r="I743" s="29" t="n">
        <f aca="false">H743*Controls!$B$52</f>
        <v>1024991.6218693</v>
      </c>
      <c r="J743" s="29" t="n">
        <f aca="false">'City Fiscal'!$B$5+(H743*Controls!$B$56*Controls!$B$55)+('City Fiscal'!$B$9*B743*F743)</f>
        <v>139171.87048037</v>
      </c>
      <c r="K743" s="29" t="n">
        <f aca="false">J743-('City Fiscal'!$B$13*E743)</f>
        <v>13660.7351055124</v>
      </c>
      <c r="L743" s="30" t="n">
        <f aca="false">'Mobility &amp; Emissions'!$B$21*B743*F743</f>
        <v>78.7551106533255</v>
      </c>
    </row>
    <row r="744" customFormat="false" ht="15" hidden="false" customHeight="true" outlineLevel="0" collapsed="false">
      <c r="A744" s="14" t="n">
        <v>740</v>
      </c>
      <c r="B744" s="47" t="n">
        <v>0.872290844616354</v>
      </c>
      <c r="C744" s="47" t="n">
        <v>1.01026395305097</v>
      </c>
      <c r="D744" s="47" t="n">
        <v>0.971725585147106</v>
      </c>
      <c r="E744" s="47" t="n">
        <v>0.904155213742228</v>
      </c>
      <c r="F744" s="47" t="n">
        <v>0.940374221988352</v>
      </c>
      <c r="G744" s="27" t="n">
        <f aca="false">'Visitor Economics'!$B$5*B744</f>
        <v>28087.7651966466</v>
      </c>
      <c r="H744" s="29" t="n">
        <f aca="false">MAX(0,'Visitor Economics'!$B$18*B744*C744*D744)</f>
        <v>619632.914020932</v>
      </c>
      <c r="I744" s="29" t="n">
        <f aca="false">H744*Controls!$B$52</f>
        <v>879878.737909723</v>
      </c>
      <c r="J744" s="29" t="n">
        <f aca="false">'City Fiscal'!$B$5+(H744*Controls!$B$56*Controls!$B$55)+('City Fiscal'!$B$9*B744*F744)</f>
        <v>136013.074104025</v>
      </c>
      <c r="K744" s="29" t="n">
        <f aca="false">J744-('City Fiscal'!$B$13*E744)</f>
        <v>36556.00059238</v>
      </c>
      <c r="L744" s="30" t="n">
        <f aca="false">'Mobility &amp; Emissions'!$B$21*B744*F744</f>
        <v>76.5581104826291</v>
      </c>
    </row>
    <row r="745" customFormat="false" ht="15" hidden="false" customHeight="true" outlineLevel="0" collapsed="false">
      <c r="A745" s="14" t="n">
        <v>741</v>
      </c>
      <c r="B745" s="47" t="n">
        <v>0.84441738895671</v>
      </c>
      <c r="C745" s="47" t="n">
        <v>0.968340823780913</v>
      </c>
      <c r="D745" s="47" t="n">
        <v>1.05715615125185</v>
      </c>
      <c r="E745" s="47" t="n">
        <v>0.865289071529454</v>
      </c>
      <c r="F745" s="47" t="n">
        <v>1.04069537978658</v>
      </c>
      <c r="G745" s="27" t="n">
        <f aca="false">'Visitor Economics'!$B$5*B745</f>
        <v>27190.2399244061</v>
      </c>
      <c r="H745" s="29" t="n">
        <f aca="false">MAX(0,'Visitor Economics'!$B$18*B745*C745*D745)</f>
        <v>625488.342898861</v>
      </c>
      <c r="I745" s="29" t="n">
        <f aca="false">H745*Controls!$B$52</f>
        <v>888193.446916383</v>
      </c>
      <c r="J745" s="29" t="n">
        <f aca="false">'City Fiscal'!$B$5+(H745*Controls!$B$56*Controls!$B$55)+('City Fiscal'!$B$9*B745*F745)</f>
        <v>142255.60804357</v>
      </c>
      <c r="K745" s="29" t="n">
        <f aca="false">J745-('City Fiscal'!$B$13*E745)</f>
        <v>47073.8101753303</v>
      </c>
      <c r="L745" s="30" t="n">
        <f aca="false">'Mobility &amp; Emissions'!$B$21*B745*F745</f>
        <v>82.0181503517953</v>
      </c>
    </row>
    <row r="746" customFormat="false" ht="15" hidden="false" customHeight="true" outlineLevel="0" collapsed="false">
      <c r="A746" s="14" t="n">
        <v>742</v>
      </c>
      <c r="B746" s="47" t="n">
        <v>0.90465953633798</v>
      </c>
      <c r="C746" s="47" t="n">
        <v>1.01773563670564</v>
      </c>
      <c r="D746" s="47" t="n">
        <v>0.964020379306206</v>
      </c>
      <c r="E746" s="47" t="n">
        <v>0.910364262847655</v>
      </c>
      <c r="F746" s="47" t="n">
        <v>0.975229788788451</v>
      </c>
      <c r="G746" s="27" t="n">
        <f aca="false">'Visitor Economics'!$B$5*B746</f>
        <v>29130.037070083</v>
      </c>
      <c r="H746" s="29" t="n">
        <f aca="false">MAX(0,'Visitor Economics'!$B$18*B746*C746*D746)</f>
        <v>642245.443841077</v>
      </c>
      <c r="I746" s="29" t="n">
        <f aca="false">H746*Controls!$B$52</f>
        <v>911988.530254329</v>
      </c>
      <c r="J746" s="29" t="n">
        <f aca="false">'City Fiscal'!$B$5+(H746*Controls!$B$56*Controls!$B$55)+('City Fiscal'!$B$9*B746*F746)</f>
        <v>142732.181144267</v>
      </c>
      <c r="K746" s="29" t="n">
        <f aca="false">J746-('City Fiscal'!$B$13*E746)</f>
        <v>42592.1122310251</v>
      </c>
      <c r="L746" s="30" t="n">
        <f aca="false">'Mobility &amp; Emissions'!$B$21*B746*F746</f>
        <v>82.3419789879957</v>
      </c>
    </row>
    <row r="747" customFormat="false" ht="15" hidden="false" customHeight="true" outlineLevel="0" collapsed="false">
      <c r="A747" s="14" t="n">
        <v>743</v>
      </c>
      <c r="B747" s="47" t="n">
        <v>0.913383657169835</v>
      </c>
      <c r="C747" s="47" t="n">
        <v>1.00592107994901</v>
      </c>
      <c r="D747" s="47" t="n">
        <v>1.06178137711693</v>
      </c>
      <c r="E747" s="47" t="n">
        <v>0.999762343108895</v>
      </c>
      <c r="F747" s="47" t="n">
        <v>1.08208461146397</v>
      </c>
      <c r="G747" s="27" t="n">
        <f aca="false">'Visitor Economics'!$B$5*B747</f>
        <v>29410.9537608687</v>
      </c>
      <c r="H747" s="29" t="n">
        <f aca="false">MAX(0,'Visitor Economics'!$B$18*B747*C747*D747)</f>
        <v>705906.074879636</v>
      </c>
      <c r="I747" s="29" t="n">
        <f aca="false">H747*Controls!$B$52</f>
        <v>1002386.62632908</v>
      </c>
      <c r="J747" s="29" t="n">
        <f aca="false">'City Fiscal'!$B$5+(H747*Controls!$B$56*Controls!$B$55)+('City Fiscal'!$B$9*B747*F747)</f>
        <v>154398.327798541</v>
      </c>
      <c r="K747" s="29" t="n">
        <f aca="false">J747-('City Fiscal'!$B$13*E747)</f>
        <v>44424.4700565621</v>
      </c>
      <c r="L747" s="30" t="n">
        <f aca="false">'Mobility &amp; Emissions'!$B$21*B747*F747</f>
        <v>92.2451696613221</v>
      </c>
    </row>
    <row r="748" customFormat="false" ht="15" hidden="false" customHeight="true" outlineLevel="0" collapsed="false">
      <c r="A748" s="14" t="n">
        <v>744</v>
      </c>
      <c r="B748" s="47" t="n">
        <v>0.902758299108451</v>
      </c>
      <c r="C748" s="47" t="n">
        <v>0.956788157382136</v>
      </c>
      <c r="D748" s="47" t="n">
        <v>0.87619927234652</v>
      </c>
      <c r="E748" s="47" t="n">
        <v>1.02391096886403</v>
      </c>
      <c r="F748" s="47" t="n">
        <v>0.946397614078358</v>
      </c>
      <c r="G748" s="27" t="n">
        <f aca="false">'Visitor Economics'!$B$5*B748</f>
        <v>29068.8172312921</v>
      </c>
      <c r="H748" s="29" t="n">
        <f aca="false">MAX(0,'Visitor Economics'!$B$18*B748*C748*D748)</f>
        <v>547626.982697214</v>
      </c>
      <c r="I748" s="29" t="n">
        <f aca="false">H748*Controls!$B$52</f>
        <v>777630.315430043</v>
      </c>
      <c r="J748" s="29" t="n">
        <f aca="false">'City Fiscal'!$B$5+(H748*Controls!$B$56*Controls!$B$55)+('City Fiscal'!$B$9*B748*F748)</f>
        <v>139161.856824286</v>
      </c>
      <c r="K748" s="29" t="n">
        <f aca="false">J748-('City Fiscal'!$B$13*E748)</f>
        <v>26531.6502492427</v>
      </c>
      <c r="L748" s="30" t="n">
        <f aca="false">'Mobility &amp; Emissions'!$B$21*B748*F748</f>
        <v>79.739645899239</v>
      </c>
    </row>
    <row r="749" customFormat="false" ht="15" hidden="false" customHeight="true" outlineLevel="0" collapsed="false">
      <c r="A749" s="14" t="n">
        <v>745</v>
      </c>
      <c r="B749" s="47" t="n">
        <v>0.956407547617661</v>
      </c>
      <c r="C749" s="47" t="n">
        <v>0.941082616423663</v>
      </c>
      <c r="D749" s="47" t="n">
        <v>0.997022349079536</v>
      </c>
      <c r="E749" s="47" t="n">
        <v>1.03462532646572</v>
      </c>
      <c r="F749" s="47" t="n">
        <v>1.0671597923711</v>
      </c>
      <c r="G749" s="27" t="n">
        <f aca="false">'Visitor Economics'!$B$5*B749</f>
        <v>30796.3230332887</v>
      </c>
      <c r="H749" s="29" t="n">
        <f aca="false">MAX(0,'Visitor Economics'!$B$18*B749*C749*D749)</f>
        <v>649337.237519902</v>
      </c>
      <c r="I749" s="29" t="n">
        <f aca="false">H749*Controls!$B$52</f>
        <v>922058.877278261</v>
      </c>
      <c r="J749" s="29" t="n">
        <f aca="false">'City Fiscal'!$B$5+(H749*Controls!$B$56*Controls!$B$55)+('City Fiscal'!$B$9*B749*F749)</f>
        <v>157455.473953734</v>
      </c>
      <c r="K749" s="29" t="n">
        <f aca="false">J749-('City Fiscal'!$B$13*E749)</f>
        <v>43646.6880425046</v>
      </c>
      <c r="L749" s="30" t="n">
        <f aca="false">'Mobility &amp; Emissions'!$B$21*B749*F749</f>
        <v>95.2580364160523</v>
      </c>
    </row>
    <row r="750" customFormat="false" ht="15" hidden="false" customHeight="true" outlineLevel="0" collapsed="false">
      <c r="A750" s="14" t="n">
        <v>746</v>
      </c>
      <c r="B750" s="47" t="n">
        <v>0.993846606338756</v>
      </c>
      <c r="C750" s="47" t="n">
        <v>0.981080725103906</v>
      </c>
      <c r="D750" s="47" t="n">
        <v>1.07204986653559</v>
      </c>
      <c r="E750" s="47" t="n">
        <v>1.03512503635835</v>
      </c>
      <c r="F750" s="47" t="n">
        <v>1.10093371829861</v>
      </c>
      <c r="G750" s="27" t="n">
        <f aca="false">'Visitor Economics'!$B$5*B750</f>
        <v>32001.8607241079</v>
      </c>
      <c r="H750" s="29" t="n">
        <f aca="false">MAX(0,'Visitor Economics'!$B$18*B750*C750*D750)</f>
        <v>756369.06665928</v>
      </c>
      <c r="I750" s="29" t="n">
        <f aca="false">H750*Controls!$B$52</f>
        <v>1074044.07465618</v>
      </c>
      <c r="J750" s="29" t="n">
        <f aca="false">'City Fiscal'!$B$5+(H750*Controls!$B$56*Controls!$B$55)+('City Fiscal'!$B$9*B750*F750)</f>
        <v>165946.432819195</v>
      </c>
      <c r="K750" s="29" t="n">
        <f aca="false">J750-('City Fiscal'!$B$13*E750)</f>
        <v>52082.6788197761</v>
      </c>
      <c r="L750" s="30" t="n">
        <f aca="false">'Mobility &amp; Emissions'!$B$21*B750*F750</f>
        <v>102.119741915173</v>
      </c>
    </row>
    <row r="751" customFormat="false" ht="15" hidden="false" customHeight="true" outlineLevel="0" collapsed="false">
      <c r="A751" s="14" t="n">
        <v>747</v>
      </c>
      <c r="B751" s="47" t="n">
        <v>0.933397459621556</v>
      </c>
      <c r="C751" s="47" t="n">
        <v>0.884272855856886</v>
      </c>
      <c r="D751" s="47" t="n">
        <v>0.915092930977161</v>
      </c>
      <c r="E751" s="47" t="n">
        <v>1.00895280545088</v>
      </c>
      <c r="F751" s="47" t="n">
        <v>0.854743416490253</v>
      </c>
      <c r="G751" s="27" t="n">
        <f aca="false">'Visitor Economics'!$B$5*B751</f>
        <v>30055.3981998141</v>
      </c>
      <c r="H751" s="29" t="n">
        <f aca="false">MAX(0,'Visitor Economics'!$B$18*B751*C751*D751)</f>
        <v>546528.455060958</v>
      </c>
      <c r="I751" s="29" t="n">
        <f aca="false">H751*Controls!$B$52</f>
        <v>776070.40618656</v>
      </c>
      <c r="J751" s="29" t="n">
        <f aca="false">'City Fiscal'!$B$5+(H751*Controls!$B$56*Controls!$B$55)+('City Fiscal'!$B$9*B751*F751)</f>
        <v>133156.80139915</v>
      </c>
      <c r="K751" s="29" t="n">
        <f aca="false">J751-('City Fiscal'!$B$13*E751)</f>
        <v>22171.9927995527</v>
      </c>
      <c r="L751" s="30" t="n">
        <f aca="false">'Mobility &amp; Emissions'!$B$21*B751*F751</f>
        <v>74.461461369112</v>
      </c>
    </row>
    <row r="752" customFormat="false" ht="15" hidden="false" customHeight="true" outlineLevel="0" collapsed="false">
      <c r="A752" s="14" t="n">
        <v>748</v>
      </c>
      <c r="B752" s="47" t="n">
        <v>0.958909902602795</v>
      </c>
      <c r="C752" s="47" t="n">
        <v>0.912514863670656</v>
      </c>
      <c r="D752" s="47" t="n">
        <v>0.99868356133921</v>
      </c>
      <c r="E752" s="47" t="n">
        <v>1.00497194038233</v>
      </c>
      <c r="F752" s="47" t="n">
        <v>0.998416643271568</v>
      </c>
      <c r="G752" s="27" t="n">
        <f aca="false">'Visitor Economics'!$B$5*B752</f>
        <v>30876.89886381</v>
      </c>
      <c r="H752" s="29" t="n">
        <f aca="false">MAX(0,'Visitor Economics'!$B$18*B752*C752*D752)</f>
        <v>632324.954914851</v>
      </c>
      <c r="I752" s="29" t="n">
        <f aca="false">H752*Controls!$B$52</f>
        <v>897901.435979088</v>
      </c>
      <c r="J752" s="29" t="n">
        <f aca="false">'City Fiscal'!$B$5+(H752*Controls!$B$56*Controls!$B$55)+('City Fiscal'!$B$9*B752*F752)</f>
        <v>150637.222717304</v>
      </c>
      <c r="K752" s="29" t="n">
        <f aca="false">J752-('City Fiscal'!$B$13*E752)</f>
        <v>40090.3092752478</v>
      </c>
      <c r="L752" s="30" t="n">
        <f aca="false">'Mobility &amp; Emissions'!$B$21*B752*F752</f>
        <v>89.3549861683212</v>
      </c>
    </row>
    <row r="753" customFormat="false" ht="15" hidden="false" customHeight="true" outlineLevel="0" collapsed="false">
      <c r="A753" s="14" t="n">
        <v>749</v>
      </c>
      <c r="B753" s="47" t="n">
        <v>0.883610810246808</v>
      </c>
      <c r="C753" s="47" t="n">
        <v>1.01108719083597</v>
      </c>
      <c r="D753" s="47" t="n">
        <v>0.86835553180192</v>
      </c>
      <c r="E753" s="47" t="n">
        <v>0.941746047163758</v>
      </c>
      <c r="F753" s="47" t="n">
        <v>1.00604688263188</v>
      </c>
      <c r="G753" s="27" t="n">
        <f aca="false">'Visitor Economics'!$B$5*B753</f>
        <v>28452.2680899472</v>
      </c>
      <c r="H753" s="29" t="n">
        <f aca="false">MAX(0,'Visitor Economics'!$B$18*B753*C753*D753)</f>
        <v>561360.530296492</v>
      </c>
      <c r="I753" s="29" t="n">
        <f aca="false">H753*Controls!$B$52</f>
        <v>797131.953021018</v>
      </c>
      <c r="J753" s="29" t="n">
        <f aca="false">'City Fiscal'!$B$5+(H753*Controls!$B$56*Controls!$B$55)+('City Fiscal'!$B$9*B753*F753)</f>
        <v>142918.955795526</v>
      </c>
      <c r="K753" s="29" t="n">
        <f aca="false">J753-('City Fiscal'!$B$13*E753)</f>
        <v>39326.8906075129</v>
      </c>
      <c r="L753" s="30" t="n">
        <f aca="false">'Mobility &amp; Emissions'!$B$21*B753*F753</f>
        <v>82.9675788121004</v>
      </c>
    </row>
    <row r="754" customFormat="false" ht="15" hidden="false" customHeight="true" outlineLevel="0" collapsed="false">
      <c r="A754" s="14" t="n">
        <v>750</v>
      </c>
      <c r="B754" s="47" t="n">
        <v>0.939576122948468</v>
      </c>
      <c r="C754" s="47" t="n">
        <v>0.970509135935331</v>
      </c>
      <c r="D754" s="47" t="n">
        <v>1.1381351261566</v>
      </c>
      <c r="E754" s="47" t="n">
        <v>0.903230403098868</v>
      </c>
      <c r="F754" s="47" t="n">
        <v>0.880372685096975</v>
      </c>
      <c r="G754" s="27" t="n">
        <f aca="false">'Visitor Economics'!$B$5*B754</f>
        <v>30254.3511589407</v>
      </c>
      <c r="H754" s="29" t="n">
        <f aca="false">MAX(0,'Visitor Economics'!$B$18*B754*C754*D754)</f>
        <v>750965.691596545</v>
      </c>
      <c r="I754" s="29" t="n">
        <f aca="false">H754*Controls!$B$52</f>
        <v>1066371.28206709</v>
      </c>
      <c r="J754" s="29" t="n">
        <f aca="false">'City Fiscal'!$B$5+(H754*Controls!$B$56*Controls!$B$55)+('City Fiscal'!$B$9*B754*F754)</f>
        <v>137595.632685949</v>
      </c>
      <c r="K754" s="29" t="n">
        <f aca="false">J754-('City Fiscal'!$B$13*E754)</f>
        <v>38240.2883450739</v>
      </c>
      <c r="L754" s="30" t="n">
        <f aca="false">'Mobility &amp; Emissions'!$B$21*B754*F754</f>
        <v>77.2018500038753</v>
      </c>
    </row>
    <row r="755" customFormat="false" ht="15" hidden="false" customHeight="true" outlineLevel="0" collapsed="false">
      <c r="A755" s="14" t="n">
        <v>751</v>
      </c>
      <c r="B755" s="47" t="n">
        <v>0.863095126210868</v>
      </c>
      <c r="C755" s="47" t="n">
        <v>0.909246848683861</v>
      </c>
      <c r="D755" s="47" t="n">
        <v>0.893915319426318</v>
      </c>
      <c r="E755" s="47" t="n">
        <v>0.92240947221815</v>
      </c>
      <c r="F755" s="47" t="n">
        <v>1.05129589674183</v>
      </c>
      <c r="G755" s="27" t="n">
        <f aca="false">'Visitor Economics'!$B$5*B755</f>
        <v>27791.66306399</v>
      </c>
      <c r="H755" s="29" t="n">
        <f aca="false">MAX(0,'Visitor Economics'!$B$18*B755*C755*D755)</f>
        <v>507611.576928579</v>
      </c>
      <c r="I755" s="29" t="n">
        <f aca="false">H755*Controls!$B$52</f>
        <v>720808.439238582</v>
      </c>
      <c r="J755" s="29" t="n">
        <f aca="false">'City Fiscal'!$B$5+(H755*Controls!$B$56*Controls!$B$55)+('City Fiscal'!$B$9*B755*F755)</f>
        <v>144523.677566358</v>
      </c>
      <c r="K755" s="29" t="n">
        <f aca="false">J755-('City Fiscal'!$B$13*E755)</f>
        <v>43058.6356223618</v>
      </c>
      <c r="L755" s="30" t="n">
        <f aca="false">'Mobility &amp; Emissions'!$B$21*B755*F755</f>
        <v>84.6862320021177</v>
      </c>
    </row>
    <row r="756" customFormat="false" ht="15" hidden="false" customHeight="true" outlineLevel="0" collapsed="false">
      <c r="A756" s="14" t="n">
        <v>752</v>
      </c>
      <c r="B756" s="47" t="n">
        <v>0.936071458966571</v>
      </c>
      <c r="C756" s="47" t="n">
        <v>1.02315992565059</v>
      </c>
      <c r="D756" s="47" t="n">
        <v>1.13300106838095</v>
      </c>
      <c r="E756" s="47" t="n">
        <v>0.90993497651081</v>
      </c>
      <c r="F756" s="47" t="n">
        <v>1.01863219572513</v>
      </c>
      <c r="G756" s="27" t="n">
        <f aca="false">'Visitor Economics'!$B$5*B756</f>
        <v>30141.5009787236</v>
      </c>
      <c r="H756" s="29" t="n">
        <f aca="false">MAX(0,'Visitor Economics'!$B$18*B756*C756*D756)</f>
        <v>785194.9799892</v>
      </c>
      <c r="I756" s="29" t="n">
        <f aca="false">H756*Controls!$B$52</f>
        <v>1114976.87158466</v>
      </c>
      <c r="J756" s="29" t="n">
        <f aca="false">'City Fiscal'!$B$5+(H756*Controls!$B$56*Controls!$B$55)+('City Fiscal'!$B$9*B756*F756)</f>
        <v>151216.4100451</v>
      </c>
      <c r="K756" s="29" t="n">
        <f aca="false">J756-('City Fiscal'!$B$13*E756)</f>
        <v>51123.562628911</v>
      </c>
      <c r="L756" s="30" t="n">
        <f aca="false">'Mobility &amp; Emissions'!$B$21*B756*F756</f>
        <v>88.9929449857977</v>
      </c>
    </row>
    <row r="757" customFormat="false" ht="15" hidden="false" customHeight="true" outlineLevel="0" collapsed="false">
      <c r="A757" s="14" t="n">
        <v>753</v>
      </c>
      <c r="B757" s="47" t="n">
        <v>0.981581254575403</v>
      </c>
      <c r="C757" s="47" t="n">
        <v>0.848930952282979</v>
      </c>
      <c r="D757" s="47" t="n">
        <v>1.0082227264609</v>
      </c>
      <c r="E757" s="47" t="n">
        <v>0.966291148057564</v>
      </c>
      <c r="F757" s="47" t="n">
        <v>1.05360238592164</v>
      </c>
      <c r="G757" s="27" t="n">
        <f aca="false">'Visitor Economics'!$B$5*B757</f>
        <v>31606.916397328</v>
      </c>
      <c r="H757" s="29" t="n">
        <f aca="false">MAX(0,'Visitor Economics'!$B$18*B757*C757*D757)</f>
        <v>607924.682503144</v>
      </c>
      <c r="I757" s="29" t="n">
        <f aca="false">H757*Controls!$B$52</f>
        <v>863253.049154465</v>
      </c>
      <c r="J757" s="29" t="n">
        <f aca="false">'City Fiscal'!$B$5+(H757*Controls!$B$56*Controls!$B$55)+('City Fiscal'!$B$9*B757*F757)</f>
        <v>158624.924268728</v>
      </c>
      <c r="K757" s="29" t="n">
        <f aca="false">J757-('City Fiscal'!$B$13*E757)</f>
        <v>52332.8979823961</v>
      </c>
      <c r="L757" s="30" t="n">
        <f aca="false">'Mobility &amp; Emissions'!$B$21*B757*F757</f>
        <v>96.5233036469749</v>
      </c>
    </row>
    <row r="758" customFormat="false" ht="15" hidden="false" customHeight="true" outlineLevel="0" collapsed="false">
      <c r="A758" s="14" t="n">
        <v>754</v>
      </c>
      <c r="B758" s="47" t="n">
        <v>0.948083381614539</v>
      </c>
      <c r="C758" s="47" t="n">
        <v>1.03872269689514</v>
      </c>
      <c r="D758" s="47" t="n">
        <v>1.06556505211864</v>
      </c>
      <c r="E758" s="47" t="n">
        <v>0.988884279907871</v>
      </c>
      <c r="F758" s="47" t="n">
        <v>1.05152411462698</v>
      </c>
      <c r="G758" s="27" t="n">
        <f aca="false">'Visitor Economics'!$B$5*B758</f>
        <v>30528.2848879882</v>
      </c>
      <c r="H758" s="29" t="n">
        <f aca="false">MAX(0,'Visitor Economics'!$B$18*B758*C758*D758)</f>
        <v>759312.926592809</v>
      </c>
      <c r="I758" s="29" t="n">
        <f aca="false">H758*Controls!$B$52</f>
        <v>1078224.35576179</v>
      </c>
      <c r="J758" s="29" t="n">
        <f aca="false">'City Fiscal'!$B$5+(H758*Controls!$B$56*Controls!$B$55)+('City Fiscal'!$B$9*B758*F758)</f>
        <v>155653.766626102</v>
      </c>
      <c r="K758" s="29" t="n">
        <f aca="false">J758-('City Fiscal'!$B$13*E758)</f>
        <v>46876.4958362361</v>
      </c>
      <c r="L758" s="30" t="n">
        <f aca="false">'Mobility &amp; Emissions'!$B$21*B758*F758</f>
        <v>93.0454085983668</v>
      </c>
    </row>
    <row r="759" customFormat="false" ht="15" hidden="false" customHeight="true" outlineLevel="0" collapsed="false">
      <c r="A759" s="14" t="n">
        <v>755</v>
      </c>
      <c r="B759" s="47" t="n">
        <v>0.96339611320766</v>
      </c>
      <c r="C759" s="47" t="n">
        <v>0.990525657893468</v>
      </c>
      <c r="D759" s="47" t="n">
        <v>1.12617048009461</v>
      </c>
      <c r="E759" s="47" t="n">
        <v>1.00806250807285</v>
      </c>
      <c r="F759" s="47" t="n">
        <v>1.10002500625313</v>
      </c>
      <c r="G759" s="27" t="n">
        <f aca="false">'Visitor Economics'!$B$5*B759</f>
        <v>31021.3548452867</v>
      </c>
      <c r="H759" s="29" t="n">
        <f aca="false">MAX(0,'Visitor Economics'!$B$18*B759*C759*D759)</f>
        <v>777623.592420005</v>
      </c>
      <c r="I759" s="29" t="n">
        <f aca="false">H759*Controls!$B$52</f>
        <v>1104225.50123641</v>
      </c>
      <c r="J759" s="29" t="n">
        <f aca="false">'City Fiscal'!$B$5+(H759*Controls!$B$56*Controls!$B$55)+('City Fiscal'!$B$9*B759*F759)</f>
        <v>162435.802206322</v>
      </c>
      <c r="K759" s="29" t="n">
        <f aca="false">J759-('City Fiscal'!$B$13*E759)</f>
        <v>51548.9263183089</v>
      </c>
      <c r="L759" s="30" t="n">
        <f aca="false">'Mobility &amp; Emissions'!$B$21*B759*F759</f>
        <v>98.9091851681479</v>
      </c>
    </row>
    <row r="760" customFormat="false" ht="15" hidden="false" customHeight="true" outlineLevel="0" collapsed="false">
      <c r="A760" s="14" t="n">
        <v>756</v>
      </c>
      <c r="B760" s="47" t="n">
        <v>0.900688027575232</v>
      </c>
      <c r="C760" s="47" t="n">
        <v>1.02656553098562</v>
      </c>
      <c r="D760" s="47" t="n">
        <v>1.0405095467569</v>
      </c>
      <c r="E760" s="47" t="n">
        <v>0.976268038958707</v>
      </c>
      <c r="F760" s="47" t="n">
        <v>0.891623310776535</v>
      </c>
      <c r="G760" s="27" t="n">
        <f aca="false">'Visitor Economics'!$B$5*B760</f>
        <v>29002.1544879225</v>
      </c>
      <c r="H760" s="29" t="n">
        <f aca="false">MAX(0,'Visitor Economics'!$B$18*B760*C760*D760)</f>
        <v>696148.363565236</v>
      </c>
      <c r="I760" s="29" t="n">
        <f aca="false">H760*Controls!$B$52</f>
        <v>988530.676262634</v>
      </c>
      <c r="J760" s="29" t="n">
        <f aca="false">'City Fiscal'!$B$5+(H760*Controls!$B$56*Controls!$B$55)+('City Fiscal'!$B$9*B760*F760)</f>
        <v>134684.112778401</v>
      </c>
      <c r="K760" s="29" t="n">
        <f aca="false">J760-('City Fiscal'!$B$13*E760)</f>
        <v>27294.628492943</v>
      </c>
      <c r="L760" s="30" t="n">
        <f aca="false">'Mobility &amp; Emissions'!$B$21*B760*F760</f>
        <v>74.9523028165983</v>
      </c>
    </row>
    <row r="761" customFormat="false" ht="15" hidden="false" customHeight="true" outlineLevel="0" collapsed="false">
      <c r="A761" s="14" t="n">
        <v>757</v>
      </c>
      <c r="B761" s="47" t="n">
        <v>0.924689979540449</v>
      </c>
      <c r="C761" s="47" t="n">
        <v>0.975971151178672</v>
      </c>
      <c r="D761" s="47" t="n">
        <v>0.930652912351537</v>
      </c>
      <c r="E761" s="47" t="n">
        <v>0.840632498636859</v>
      </c>
      <c r="F761" s="47" t="n">
        <v>1.00037546992555</v>
      </c>
      <c r="G761" s="27" t="n">
        <f aca="false">'Visitor Economics'!$B$5*B761</f>
        <v>29775.0173412025</v>
      </c>
      <c r="H761" s="29" t="n">
        <f aca="false">MAX(0,'Visitor Economics'!$B$18*B761*C761*D761)</f>
        <v>607736.810417345</v>
      </c>
      <c r="I761" s="29" t="n">
        <f aca="false">H761*Controls!$B$52</f>
        <v>862986.27079263</v>
      </c>
      <c r="J761" s="29" t="n">
        <f aca="false">'City Fiscal'!$B$5+(H761*Controls!$B$56*Controls!$B$55)+('City Fiscal'!$B$9*B761*F761)</f>
        <v>147046.420784139</v>
      </c>
      <c r="K761" s="29" t="n">
        <f aca="false">J761-('City Fiscal'!$B$13*E761)</f>
        <v>54576.8459340847</v>
      </c>
      <c r="L761" s="30" t="n">
        <f aca="false">'Mobility &amp; Emissions'!$B$21*B761*F761</f>
        <v>86.3352919023186</v>
      </c>
    </row>
    <row r="762" customFormat="false" ht="15" hidden="false" customHeight="true" outlineLevel="0" collapsed="false">
      <c r="A762" s="14" t="n">
        <v>758</v>
      </c>
      <c r="B762" s="47" t="n">
        <v>0.914762012451581</v>
      </c>
      <c r="C762" s="47" t="n">
        <v>0.894397580605823</v>
      </c>
      <c r="D762" s="47" t="n">
        <v>1.10804490146529</v>
      </c>
      <c r="E762" s="47" t="n">
        <v>0.905069971200183</v>
      </c>
      <c r="F762" s="47" t="n">
        <v>0.939874913073671</v>
      </c>
      <c r="G762" s="27" t="n">
        <f aca="false">'Visitor Economics'!$B$5*B762</f>
        <v>29455.3368009409</v>
      </c>
      <c r="H762" s="29" t="n">
        <f aca="false">MAX(0,'Visitor Economics'!$B$18*B762*C762*D762)</f>
        <v>655980.253474685</v>
      </c>
      <c r="I762" s="29" t="n">
        <f aca="false">H762*Controls!$B$52</f>
        <v>931491.959934053</v>
      </c>
      <c r="J762" s="29" t="n">
        <f aca="false">'City Fiscal'!$B$5+(H762*Controls!$B$56*Controls!$B$55)+('City Fiscal'!$B$9*B762*F762)</f>
        <v>140436.020947417</v>
      </c>
      <c r="K762" s="29" t="n">
        <f aca="false">J762-('City Fiscal'!$B$13*E762)</f>
        <v>40878.3241153971</v>
      </c>
      <c r="L762" s="30" t="n">
        <f aca="false">'Mobility &amp; Emissions'!$B$21*B762*F762</f>
        <v>80.2430366363131</v>
      </c>
    </row>
    <row r="763" customFormat="false" ht="15" hidden="false" customHeight="true" outlineLevel="0" collapsed="false">
      <c r="A763" s="14" t="n">
        <v>759</v>
      </c>
      <c r="B763" s="47" t="n">
        <v>0.961110272542658</v>
      </c>
      <c r="C763" s="47" t="n">
        <v>0.955399409156761</v>
      </c>
      <c r="D763" s="47" t="n">
        <v>1.06877845050878</v>
      </c>
      <c r="E763" s="47" t="n">
        <v>1.14605891091585</v>
      </c>
      <c r="F763" s="47" t="n">
        <v>0.969341945685497</v>
      </c>
      <c r="G763" s="27" t="n">
        <f aca="false">'Visitor Economics'!$B$5*B763</f>
        <v>30947.7507758736</v>
      </c>
      <c r="H763" s="29" t="n">
        <f aca="false">MAX(0,'Visitor Economics'!$B$18*B763*C763*D763)</f>
        <v>710134.391246668</v>
      </c>
      <c r="I763" s="29" t="n">
        <f aca="false">H763*Controls!$B$52</f>
        <v>1008390.83557027</v>
      </c>
      <c r="J763" s="29" t="n">
        <f aca="false">'City Fiscal'!$B$5+(H763*Controls!$B$56*Controls!$B$55)+('City Fiscal'!$B$9*B763*F763)</f>
        <v>148410.722139858</v>
      </c>
      <c r="K763" s="29" t="n">
        <f aca="false">J763-('City Fiscal'!$B$13*E763)</f>
        <v>22344.241939115</v>
      </c>
      <c r="L763" s="30" t="n">
        <f aca="false">'Mobility &amp; Emissions'!$B$21*B763*F763</f>
        <v>86.9519651304305</v>
      </c>
    </row>
    <row r="764" customFormat="false" ht="15" hidden="false" customHeight="true" outlineLevel="0" collapsed="false">
      <c r="A764" s="14" t="n">
        <v>760</v>
      </c>
      <c r="B764" s="47" t="n">
        <v>0.855466548880945</v>
      </c>
      <c r="C764" s="47" t="n">
        <v>1.00067690919189</v>
      </c>
      <c r="D764" s="47" t="n">
        <v>0.946000301204546</v>
      </c>
      <c r="E764" s="47" t="n">
        <v>0.989113275646828</v>
      </c>
      <c r="F764" s="47" t="n">
        <v>1.00856980520412</v>
      </c>
      <c r="G764" s="27" t="n">
        <f aca="false">'Visitor Economics'!$B$5*B764</f>
        <v>27546.0228739664</v>
      </c>
      <c r="H764" s="29" t="n">
        <f aca="false">MAX(0,'Visitor Economics'!$B$18*B764*C764*D764)</f>
        <v>585980.082818519</v>
      </c>
      <c r="I764" s="29" t="n">
        <f aca="false">H764*Controls!$B$52</f>
        <v>832091.717602297</v>
      </c>
      <c r="J764" s="29" t="n">
        <f aca="false">'City Fiscal'!$B$5+(H764*Controls!$B$56*Controls!$B$55)+('City Fiscal'!$B$9*B764*F764)</f>
        <v>140304.399743065</v>
      </c>
      <c r="K764" s="29" t="n">
        <f aca="false">J764-('City Fiscal'!$B$13*E764)</f>
        <v>31501.9394219141</v>
      </c>
      <c r="L764" s="30" t="n">
        <f aca="false">'Mobility &amp; Emissions'!$B$21*B764*F764</f>
        <v>80.526378949633</v>
      </c>
    </row>
    <row r="765" customFormat="false" ht="15" hidden="false" customHeight="true" outlineLevel="0" collapsed="false">
      <c r="A765" s="14" t="n">
        <v>761</v>
      </c>
      <c r="B765" s="47" t="n">
        <v>0.917477270848675</v>
      </c>
      <c r="C765" s="47" t="n">
        <v>0.986682332597069</v>
      </c>
      <c r="D765" s="47" t="n">
        <v>0.946622027355329</v>
      </c>
      <c r="E765" s="47" t="n">
        <v>0.978481229172417</v>
      </c>
      <c r="F765" s="47" t="n">
        <v>1.00067652562306</v>
      </c>
      <c r="G765" s="27" t="n">
        <f aca="false">'Visitor Economics'!$B$5*B765</f>
        <v>29542.7681213273</v>
      </c>
      <c r="H765" s="29" t="n">
        <f aca="false">MAX(0,'Visitor Economics'!$B$18*B765*C765*D765)</f>
        <v>620074.599594086</v>
      </c>
      <c r="I765" s="29" t="n">
        <f aca="false">H765*Controls!$B$52</f>
        <v>880505.931423603</v>
      </c>
      <c r="J765" s="29" t="n">
        <f aca="false">'City Fiscal'!$B$5+(H765*Controls!$B$56*Controls!$B$55)+('City Fiscal'!$B$9*B765*F765)</f>
        <v>146390.406240458</v>
      </c>
      <c r="K765" s="29" t="n">
        <f aca="false">J765-('City Fiscal'!$B$13*E765)</f>
        <v>38757.4710314918</v>
      </c>
      <c r="L765" s="30" t="n">
        <f aca="false">'Mobility &amp; Emissions'!$B$21*B765*F765</f>
        <v>85.6876440948775</v>
      </c>
    </row>
    <row r="766" customFormat="false" ht="15" hidden="false" customHeight="true" outlineLevel="0" collapsed="false">
      <c r="A766" s="14" t="n">
        <v>762</v>
      </c>
      <c r="B766" s="47" t="n">
        <v>0.907853040636506</v>
      </c>
      <c r="C766" s="47" t="n">
        <v>0.903624159188598</v>
      </c>
      <c r="D766" s="47" t="n">
        <v>0.89162302629834</v>
      </c>
      <c r="E766" s="47" t="n">
        <v>1.1103173239088</v>
      </c>
      <c r="F766" s="47" t="n">
        <v>0.943072552344931</v>
      </c>
      <c r="G766" s="27" t="n">
        <f aca="false">'Visitor Economics'!$B$5*B766</f>
        <v>29232.8679084955</v>
      </c>
      <c r="H766" s="29" t="n">
        <f aca="false">MAX(0,'Visitor Economics'!$B$18*B766*C766*D766)</f>
        <v>529272.502330056</v>
      </c>
      <c r="I766" s="29" t="n">
        <f aca="false">H766*Controls!$B$52</f>
        <v>751566.953308679</v>
      </c>
      <c r="J766" s="29" t="n">
        <f aca="false">'City Fiscal'!$B$5+(H766*Controls!$B$56*Controls!$B$55)+('City Fiscal'!$B$9*B766*F766)</f>
        <v>139234.142001885</v>
      </c>
      <c r="K766" s="29" t="n">
        <f aca="false">J766-('City Fiscal'!$B$13*E766)</f>
        <v>17099.2363719174</v>
      </c>
      <c r="L766" s="30" t="n">
        <f aca="false">'Mobility &amp; Emissions'!$B$21*B766*F766</f>
        <v>79.9079214443723</v>
      </c>
    </row>
    <row r="767" customFormat="false" ht="15" hidden="false" customHeight="true" outlineLevel="0" collapsed="false">
      <c r="A767" s="14" t="n">
        <v>763</v>
      </c>
      <c r="B767" s="47" t="n">
        <v>0.931750354108359</v>
      </c>
      <c r="C767" s="47" t="n">
        <v>1.0682119704951</v>
      </c>
      <c r="D767" s="47" t="n">
        <v>1.02666449006036</v>
      </c>
      <c r="E767" s="47" t="n">
        <v>1.10802729135499</v>
      </c>
      <c r="F767" s="47" t="n">
        <v>1.01195109562188</v>
      </c>
      <c r="G767" s="27" t="n">
        <f aca="false">'Visitor Economics'!$B$5*B767</f>
        <v>30002.3614022892</v>
      </c>
      <c r="H767" s="29" t="n">
        <f aca="false">MAX(0,'Visitor Economics'!$B$18*B767*C767*D767)</f>
        <v>739401.313098156</v>
      </c>
      <c r="I767" s="29" t="n">
        <f aca="false">H767*Controls!$B$52</f>
        <v>1049949.86459938</v>
      </c>
      <c r="J767" s="29" t="n">
        <f aca="false">'City Fiscal'!$B$5+(H767*Controls!$B$56*Controls!$B$55)+('City Fiscal'!$B$9*B767*F767)</f>
        <v>149792.608967857</v>
      </c>
      <c r="K767" s="29" t="n">
        <f aca="false">J767-('City Fiscal'!$B$13*E767)</f>
        <v>27909.6069188078</v>
      </c>
      <c r="L767" s="30" t="n">
        <f aca="false">'Mobility &amp; Emissions'!$B$21*B767*F767</f>
        <v>88.0011338439029</v>
      </c>
    </row>
    <row r="768" customFormat="false" ht="15" hidden="false" customHeight="true" outlineLevel="0" collapsed="false">
      <c r="A768" s="14" t="n">
        <v>764</v>
      </c>
      <c r="B768" s="47" t="n">
        <v>0.846471046328458</v>
      </c>
      <c r="C768" s="47" t="n">
        <v>1.05664386375417</v>
      </c>
      <c r="D768" s="47" t="n">
        <v>1.15898489136413</v>
      </c>
      <c r="E768" s="47" t="n">
        <v>1.09190588246238</v>
      </c>
      <c r="F768" s="47" t="n">
        <v>0.930916623755567</v>
      </c>
      <c r="G768" s="27" t="n">
        <f aca="false">'Visitor Economics'!$B$5*B768</f>
        <v>27256.3676917763</v>
      </c>
      <c r="H768" s="29" t="n">
        <f aca="false">MAX(0,'Visitor Economics'!$B$18*B768*C768*D768)</f>
        <v>750089.67417967</v>
      </c>
      <c r="I768" s="29" t="n">
        <f aca="false">H768*Controls!$B$52</f>
        <v>1065127.33733513</v>
      </c>
      <c r="J768" s="29" t="n">
        <f aca="false">'City Fiscal'!$B$5+(H768*Controls!$B$56*Controls!$B$55)+('City Fiscal'!$B$9*B768*F768)</f>
        <v>133434.23640116</v>
      </c>
      <c r="K768" s="29" t="n">
        <f aca="false">J768-('City Fiscal'!$B$13*E768)</f>
        <v>13324.5893302977</v>
      </c>
      <c r="L768" s="30" t="n">
        <f aca="false">'Mobility &amp; Emissions'!$B$21*B768*F768</f>
        <v>73.5448166749782</v>
      </c>
    </row>
    <row r="769" customFormat="false" ht="15" hidden="false" customHeight="true" outlineLevel="0" collapsed="false">
      <c r="A769" s="14" t="n">
        <v>765</v>
      </c>
      <c r="B769" s="47" t="n">
        <v>0.845708446945579</v>
      </c>
      <c r="C769" s="47" t="n">
        <v>0.911635146095808</v>
      </c>
      <c r="D769" s="47" t="n">
        <v>1.01512503326238</v>
      </c>
      <c r="E769" s="47" t="n">
        <v>1.09957144552978</v>
      </c>
      <c r="F769" s="47" t="n">
        <v>1.01211417766862</v>
      </c>
      <c r="G769" s="27" t="n">
        <f aca="false">'Visitor Economics'!$B$5*B769</f>
        <v>27231.8119916476</v>
      </c>
      <c r="H769" s="29" t="n">
        <f aca="false">MAX(0,'Visitor Economics'!$B$18*B769*C769*D769)</f>
        <v>566312.223556379</v>
      </c>
      <c r="I769" s="29" t="n">
        <f aca="false">H769*Controls!$B$52</f>
        <v>804163.357450058</v>
      </c>
      <c r="J769" s="29" t="n">
        <f aca="false">'City Fiscal'!$B$5+(H769*Controls!$B$56*Controls!$B$55)+('City Fiscal'!$B$9*B769*F769)</f>
        <v>139451.062466058</v>
      </c>
      <c r="K769" s="29" t="n">
        <f aca="false">J769-('City Fiscal'!$B$13*E769)</f>
        <v>18498.203457782</v>
      </c>
      <c r="L769" s="30" t="n">
        <f aca="false">'Mobility &amp; Emissions'!$B$21*B769*F769</f>
        <v>79.887596146523</v>
      </c>
    </row>
    <row r="770" customFormat="false" ht="15" hidden="false" customHeight="true" outlineLevel="0" collapsed="false">
      <c r="A770" s="14" t="n">
        <v>766</v>
      </c>
      <c r="B770" s="47" t="n">
        <v>0.915383898599501</v>
      </c>
      <c r="C770" s="47" t="n">
        <v>1.07218786764847</v>
      </c>
      <c r="D770" s="47" t="n">
        <v>1.18726045903898</v>
      </c>
      <c r="E770" s="47" t="n">
        <v>1.07916016272544</v>
      </c>
      <c r="F770" s="47" t="n">
        <v>1.13162882692913</v>
      </c>
      <c r="G770" s="27" t="n">
        <f aca="false">'Visitor Economics'!$B$5*B770</f>
        <v>29475.3615349039</v>
      </c>
      <c r="H770" s="29" t="n">
        <f aca="false">MAX(0,'Visitor Economics'!$B$18*B770*C770*D770)</f>
        <v>843169.389280933</v>
      </c>
      <c r="I770" s="29" t="n">
        <f aca="false">H770*Controls!$B$52</f>
        <v>1197300.53277892</v>
      </c>
      <c r="J770" s="29" t="n">
        <f aca="false">'City Fiscal'!$B$5+(H770*Controls!$B$56*Controls!$B$55)+('City Fiscal'!$B$9*B770*F770)</f>
        <v>160327.324867841</v>
      </c>
      <c r="K770" s="29" t="n">
        <f aca="false">J770-('City Fiscal'!$B$13*E770)</f>
        <v>41619.7069680431</v>
      </c>
      <c r="L770" s="30" t="n">
        <f aca="false">'Mobility &amp; Emissions'!$B$21*B770*F770</f>
        <v>96.6799567582649</v>
      </c>
    </row>
    <row r="771" customFormat="false" ht="15" hidden="false" customHeight="true" outlineLevel="0" collapsed="false">
      <c r="A771" s="14" t="n">
        <v>767</v>
      </c>
      <c r="B771" s="47" t="n">
        <v>0.828670319497616</v>
      </c>
      <c r="C771" s="47" t="n">
        <v>1.01258491726019</v>
      </c>
      <c r="D771" s="47" t="n">
        <v>0.920348494826272</v>
      </c>
      <c r="E771" s="47" t="n">
        <v>1.09499596779438</v>
      </c>
      <c r="F771" s="47" t="n">
        <v>0.977367578292123</v>
      </c>
      <c r="G771" s="27" t="n">
        <f aca="false">'Visitor Economics'!$B$5*B771</f>
        <v>26683.1842878232</v>
      </c>
      <c r="H771" s="29" t="n">
        <f aca="false">MAX(0,'Visitor Economics'!$B$18*B771*C771*D771)</f>
        <v>558804.910861695</v>
      </c>
      <c r="I771" s="29" t="n">
        <f aca="false">H771*Controls!$B$52</f>
        <v>793502.973423607</v>
      </c>
      <c r="J771" s="29" t="n">
        <f aca="false">'City Fiscal'!$B$5+(H771*Controls!$B$56*Controls!$B$55)+('City Fiscal'!$B$9*B771*F771)</f>
        <v>134519.681715421</v>
      </c>
      <c r="K771" s="29" t="n">
        <f aca="false">J771-('City Fiscal'!$B$13*E771)</f>
        <v>14070.1252580391</v>
      </c>
      <c r="L771" s="30" t="n">
        <f aca="false">'Mobility &amp; Emissions'!$B$21*B771*F771</f>
        <v>75.5907907858727</v>
      </c>
    </row>
    <row r="772" customFormat="false" ht="15" hidden="false" customHeight="true" outlineLevel="0" collapsed="false">
      <c r="A772" s="14" t="n">
        <v>768</v>
      </c>
      <c r="B772" s="47" t="n">
        <v>0.909290370871152</v>
      </c>
      <c r="C772" s="47" t="n">
        <v>0.966140343505823</v>
      </c>
      <c r="D772" s="47" t="n">
        <v>1.07981260328685</v>
      </c>
      <c r="E772" s="47" t="n">
        <v>0.930410597317468</v>
      </c>
      <c r="F772" s="47" t="n">
        <v>1.11889533797001</v>
      </c>
      <c r="G772" s="27" t="n">
        <f aca="false">'Visitor Economics'!$B$5*B772</f>
        <v>29279.1499420511</v>
      </c>
      <c r="H772" s="29" t="n">
        <f aca="false">MAX(0,'Visitor Economics'!$B$18*B772*C772*D772)</f>
        <v>686413.586714449</v>
      </c>
      <c r="I772" s="29" t="n">
        <f aca="false">H772*Controls!$B$52</f>
        <v>974707.293134517</v>
      </c>
      <c r="J772" s="29" t="n">
        <f aca="false">'City Fiscal'!$B$5+(H772*Controls!$B$56*Controls!$B$55)+('City Fiscal'!$B$9*B772*F772)</f>
        <v>157352.212560221</v>
      </c>
      <c r="K772" s="29" t="n">
        <f aca="false">J772-('City Fiscal'!$B$13*E772)</f>
        <v>55007.0468552997</v>
      </c>
      <c r="L772" s="30" t="n">
        <f aca="false">'Mobility &amp; Emissions'!$B$21*B772*F772</f>
        <v>94.9557422161142</v>
      </c>
    </row>
    <row r="773" customFormat="false" ht="15" hidden="false" customHeight="true" outlineLevel="0" collapsed="false">
      <c r="A773" s="14" t="n">
        <v>769</v>
      </c>
      <c r="B773" s="47" t="n">
        <v>0.94246291210008</v>
      </c>
      <c r="C773" s="47" t="n">
        <v>0.965213635723371</v>
      </c>
      <c r="D773" s="47" t="n">
        <v>0.832345964505394</v>
      </c>
      <c r="E773" s="47" t="n">
        <v>0.965761105923357</v>
      </c>
      <c r="F773" s="47" t="n">
        <v>1.03785054614489</v>
      </c>
      <c r="G773" s="27" t="n">
        <f aca="false">'Visitor Economics'!$B$5*B773</f>
        <v>30347.3057696226</v>
      </c>
      <c r="H773" s="29" t="n">
        <f aca="false">MAX(0,'Visitor Economics'!$B$18*B773*C773*D773)</f>
        <v>547881.032172508</v>
      </c>
      <c r="I773" s="29" t="n">
        <f aca="false">H773*Controls!$B$52</f>
        <v>777991.065684961</v>
      </c>
      <c r="J773" s="29" t="n">
        <f aca="false">'City Fiscal'!$B$5+(H773*Controls!$B$56*Controls!$B$55)+('City Fiscal'!$B$9*B773*F773)</f>
        <v>152290.113250504</v>
      </c>
      <c r="K773" s="29" t="n">
        <f aca="false">J773-('City Fiscal'!$B$13*E773)</f>
        <v>46056.3915989346</v>
      </c>
      <c r="L773" s="30" t="n">
        <f aca="false">'Mobility &amp; Emissions'!$B$21*B773*F773</f>
        <v>91.2910628625829</v>
      </c>
    </row>
    <row r="774" customFormat="false" ht="15" hidden="false" customHeight="true" outlineLevel="0" collapsed="false">
      <c r="A774" s="14" t="n">
        <v>770</v>
      </c>
      <c r="B774" s="47" t="n">
        <v>0.834221766846904</v>
      </c>
      <c r="C774" s="47" t="n">
        <v>1.04006252443316</v>
      </c>
      <c r="D774" s="47" t="n">
        <v>0.889754726549703</v>
      </c>
      <c r="E774" s="47" t="n">
        <v>1.12623106205513</v>
      </c>
      <c r="F774" s="47" t="n">
        <v>0.88581200915894</v>
      </c>
      <c r="G774" s="27" t="n">
        <f aca="false">'Visitor Economics'!$B$5*B774</f>
        <v>26861.9408924703</v>
      </c>
      <c r="H774" s="29" t="n">
        <f aca="false">MAX(0,'Visitor Economics'!$B$18*B774*C774*D774)</f>
        <v>558606.440838994</v>
      </c>
      <c r="I774" s="29" t="n">
        <f aca="false">H774*Controls!$B$52</f>
        <v>793221.145991372</v>
      </c>
      <c r="J774" s="29" t="n">
        <f aca="false">'City Fiscal'!$B$5+(H774*Controls!$B$56*Controls!$B$55)+('City Fiscal'!$B$9*B774*F774)</f>
        <v>126993.331745351</v>
      </c>
      <c r="K774" s="29" t="n">
        <f aca="false">J774-('City Fiscal'!$B$13*E774)</f>
        <v>3107.91491928702</v>
      </c>
      <c r="L774" s="30" t="n">
        <f aca="false">'Mobility &amp; Emissions'!$B$21*B774*F774</f>
        <v>68.9687345676689</v>
      </c>
    </row>
    <row r="775" customFormat="false" ht="15" hidden="false" customHeight="true" outlineLevel="0" collapsed="false">
      <c r="A775" s="14" t="n">
        <v>771</v>
      </c>
      <c r="B775" s="47" t="n">
        <v>0.980050031289124</v>
      </c>
      <c r="C775" s="47" t="n">
        <v>0.981749806800503</v>
      </c>
      <c r="D775" s="47" t="n">
        <v>0.942538303178051</v>
      </c>
      <c r="E775" s="47" t="n">
        <v>0.896444097221434</v>
      </c>
      <c r="F775" s="47" t="n">
        <v>1.01676149205279</v>
      </c>
      <c r="G775" s="27" t="n">
        <f aca="false">'Visitor Economics'!$B$5*B775</f>
        <v>31557.6110075098</v>
      </c>
      <c r="H775" s="29" t="n">
        <f aca="false">MAX(0,'Visitor Economics'!$B$18*B775*C775*D775)</f>
        <v>656209.85620021</v>
      </c>
      <c r="I775" s="29" t="n">
        <f aca="false">H775*Controls!$B$52</f>
        <v>931817.995804298</v>
      </c>
      <c r="J775" s="29" t="n">
        <f aca="false">'City Fiscal'!$B$5+(H775*Controls!$B$56*Controls!$B$55)+('City Fiscal'!$B$9*B775*F775)</f>
        <v>154937.358902279</v>
      </c>
      <c r="K775" s="29" t="n">
        <f aca="false">J775-('City Fiscal'!$B$13*E775)</f>
        <v>56328.5082079213</v>
      </c>
      <c r="L775" s="30" t="n">
        <f aca="false">'Mobility &amp; Emissions'!$B$21*B775*F775</f>
        <v>93.0029047500095</v>
      </c>
    </row>
    <row r="776" customFormat="false" ht="15" hidden="false" customHeight="true" outlineLevel="0" collapsed="false">
      <c r="A776" s="14" t="n">
        <v>772</v>
      </c>
      <c r="B776" s="47" t="n">
        <v>0.963184509154633</v>
      </c>
      <c r="C776" s="47" t="n">
        <v>1.02753378995547</v>
      </c>
      <c r="D776" s="47" t="n">
        <v>0.951815889835603</v>
      </c>
      <c r="E776" s="47" t="n">
        <v>1.07979057017897</v>
      </c>
      <c r="F776" s="47" t="n">
        <v>1.05962577801165</v>
      </c>
      <c r="G776" s="27" t="n">
        <f aca="false">'Visitor Economics'!$B$5*B776</f>
        <v>31014.5411947792</v>
      </c>
      <c r="H776" s="29" t="n">
        <f aca="false">MAX(0,'Visitor Economics'!$B$18*B776*C776*D776)</f>
        <v>681637.10281822</v>
      </c>
      <c r="I776" s="29" t="n">
        <f aca="false">H776*Controls!$B$52</f>
        <v>967924.686001873</v>
      </c>
      <c r="J776" s="29" t="n">
        <f aca="false">'City Fiscal'!$B$5+(H776*Controls!$B$56*Controls!$B$55)+('City Fiscal'!$B$9*B776*F776)</f>
        <v>157662.173862902</v>
      </c>
      <c r="K776" s="29" t="n">
        <f aca="false">J776-('City Fiscal'!$B$13*E776)</f>
        <v>38885.2111432149</v>
      </c>
      <c r="L776" s="30" t="n">
        <f aca="false">'Mobility &amp; Emissions'!$B$21*B776*F776</f>
        <v>95.2557455842428</v>
      </c>
    </row>
    <row r="777" customFormat="false" ht="15" hidden="false" customHeight="true" outlineLevel="0" collapsed="false">
      <c r="A777" s="14" t="n">
        <v>773</v>
      </c>
      <c r="B777" s="47" t="n">
        <v>0.871007691982601</v>
      </c>
      <c r="C777" s="47" t="n">
        <v>0.952578278763906</v>
      </c>
      <c r="D777" s="47" t="n">
        <v>1.05174826608577</v>
      </c>
      <c r="E777" s="47" t="n">
        <v>0.959798068656187</v>
      </c>
      <c r="F777" s="47" t="n">
        <v>1.03665318707613</v>
      </c>
      <c r="G777" s="27" t="n">
        <f aca="false">'Visitor Economics'!$B$5*B777</f>
        <v>28046.4476818398</v>
      </c>
      <c r="H777" s="29" t="n">
        <f aca="false">MAX(0,'Visitor Economics'!$B$18*B777*C777*D777)</f>
        <v>631435.709530067</v>
      </c>
      <c r="I777" s="29" t="n">
        <f aca="false">H777*Controls!$B$52</f>
        <v>896638.707532696</v>
      </c>
      <c r="J777" s="29" t="n">
        <f aca="false">'City Fiscal'!$B$5+(H777*Controls!$B$56*Controls!$B$55)+('City Fiscal'!$B$9*B777*F777)</f>
        <v>144855.63809095</v>
      </c>
      <c r="K777" s="29" t="n">
        <f aca="false">J777-('City Fiscal'!$B$13*E777)</f>
        <v>39277.8505387694</v>
      </c>
      <c r="L777" s="30" t="n">
        <f aca="false">'Mobility &amp; Emissions'!$B$21*B777*F777</f>
        <v>84.2722625300117</v>
      </c>
    </row>
    <row r="778" customFormat="false" ht="15" hidden="false" customHeight="true" outlineLevel="0" collapsed="false">
      <c r="A778" s="14" t="n">
        <v>774</v>
      </c>
      <c r="B778" s="47" t="n">
        <v>0.82471241438348</v>
      </c>
      <c r="C778" s="47" t="n">
        <v>0.869020403915105</v>
      </c>
      <c r="D778" s="47" t="n">
        <v>0.962326904213284</v>
      </c>
      <c r="E778" s="47" t="n">
        <v>1.21640312514534</v>
      </c>
      <c r="F778" s="47" t="n">
        <v>1.04510719757772</v>
      </c>
      <c r="G778" s="27" t="n">
        <f aca="false">'Visitor Economics'!$B$5*B778</f>
        <v>26555.7397431481</v>
      </c>
      <c r="H778" s="29" t="n">
        <f aca="false">MAX(0,'Visitor Economics'!$B$18*B778*C778*D778)</f>
        <v>499056.599212338</v>
      </c>
      <c r="I778" s="29" t="n">
        <f aca="false">H778*Controls!$B$52</f>
        <v>708660.37088152</v>
      </c>
      <c r="J778" s="29" t="n">
        <f aca="false">'City Fiscal'!$B$5+(H778*Controls!$B$56*Controls!$B$55)+('City Fiscal'!$B$9*B778*F778)</f>
        <v>139647.289446219</v>
      </c>
      <c r="K778" s="29" t="n">
        <f aca="false">J778-('City Fiscal'!$B$13*E778)</f>
        <v>5842.94568023118</v>
      </c>
      <c r="L778" s="30" t="n">
        <f aca="false">'Mobility &amp; Emissions'!$B$21*B778*F778</f>
        <v>80.4437943613239</v>
      </c>
    </row>
    <row r="779" customFormat="false" ht="15" hidden="false" customHeight="true" outlineLevel="0" collapsed="false">
      <c r="A779" s="14" t="n">
        <v>775</v>
      </c>
      <c r="B779" s="47" t="n">
        <v>0.870822904600106</v>
      </c>
      <c r="C779" s="47" t="n">
        <v>0.970688420258492</v>
      </c>
      <c r="D779" s="47" t="n">
        <v>1.13051673757383</v>
      </c>
      <c r="E779" s="47" t="n">
        <v>1.05150881631669</v>
      </c>
      <c r="F779" s="47" t="n">
        <v>1.11612523062809</v>
      </c>
      <c r="G779" s="27" t="n">
        <f aca="false">'Visitor Economics'!$B$5*B779</f>
        <v>28040.4975281234</v>
      </c>
      <c r="H779" s="29" t="n">
        <f aca="false">MAX(0,'Visitor Economics'!$B$18*B779*C779*D779)</f>
        <v>691482.762495838</v>
      </c>
      <c r="I779" s="29" t="n">
        <f aca="false">H779*Controls!$B$52</f>
        <v>981905.52274409</v>
      </c>
      <c r="J779" s="29" t="n">
        <f aca="false">'City Fiscal'!$B$5+(H779*Controls!$B$56*Controls!$B$55)+('City Fiscal'!$B$9*B779*F779)</f>
        <v>152564.336226318</v>
      </c>
      <c r="K779" s="29" t="n">
        <f aca="false">J779-('City Fiscal'!$B$13*E779)</f>
        <v>36898.3664314818</v>
      </c>
      <c r="L779" s="30" t="n">
        <f aca="false">'Mobility &amp; Emissions'!$B$21*B779*F779</f>
        <v>90.7135045743033</v>
      </c>
    </row>
    <row r="780" customFormat="false" ht="15" hidden="false" customHeight="true" outlineLevel="0" collapsed="false">
      <c r="A780" s="14" t="n">
        <v>776</v>
      </c>
      <c r="B780" s="47" t="n">
        <v>0.882796887112403</v>
      </c>
      <c r="C780" s="47" t="n">
        <v>1.09562788478609</v>
      </c>
      <c r="D780" s="47" t="n">
        <v>1.09347923460448</v>
      </c>
      <c r="E780" s="47" t="n">
        <v>0.902295200346071</v>
      </c>
      <c r="F780" s="47" t="n">
        <v>1.13289736862351</v>
      </c>
      <c r="G780" s="27" t="n">
        <f aca="false">'Visitor Economics'!$B$5*B780</f>
        <v>28426.0597650194</v>
      </c>
      <c r="H780" s="29" t="n">
        <f aca="false">MAX(0,'Visitor Economics'!$B$18*B780*C780*D780)</f>
        <v>765295.359134663</v>
      </c>
      <c r="I780" s="29" t="n">
        <f aca="false">H780*Controls!$B$52</f>
        <v>1086719.40997122</v>
      </c>
      <c r="J780" s="29" t="n">
        <f aca="false">'City Fiscal'!$B$5+(H780*Controls!$B$56*Controls!$B$55)+('City Fiscal'!$B$9*B780*F780)</f>
        <v>156030.40754208</v>
      </c>
      <c r="K780" s="29" t="n">
        <f aca="false">J780-('City Fiscal'!$B$13*E780)</f>
        <v>56777.9355040118</v>
      </c>
      <c r="L780" s="30" t="n">
        <f aca="false">'Mobility &amp; Emissions'!$B$21*B780*F780</f>
        <v>93.3427383811006</v>
      </c>
    </row>
    <row r="781" customFormat="false" ht="15" hidden="false" customHeight="true" outlineLevel="0" collapsed="false">
      <c r="A781" s="14" t="n">
        <v>777</v>
      </c>
      <c r="B781" s="47" t="n">
        <v>0.891724661556883</v>
      </c>
      <c r="C781" s="47" t="n">
        <v>1.03806099829751</v>
      </c>
      <c r="D781" s="47" t="n">
        <v>1.01814605890777</v>
      </c>
      <c r="E781" s="47" t="n">
        <v>0.993629778551952</v>
      </c>
      <c r="F781" s="47" t="n">
        <v>1.12535248491227</v>
      </c>
      <c r="G781" s="27" t="n">
        <f aca="false">'Visitor Economics'!$B$5*B781</f>
        <v>28713.5341021316</v>
      </c>
      <c r="H781" s="29" t="n">
        <f aca="false">MAX(0,'Visitor Economics'!$B$18*B781*C781*D781)</f>
        <v>681959.220869261</v>
      </c>
      <c r="I781" s="29" t="n">
        <f aca="false">H781*Controls!$B$52</f>
        <v>968382.09363435</v>
      </c>
      <c r="J781" s="29" t="n">
        <f aca="false">'City Fiscal'!$B$5+(H781*Controls!$B$56*Controls!$B$55)+('City Fiscal'!$B$9*B781*F781)</f>
        <v>155849.535400855</v>
      </c>
      <c r="K781" s="29" t="n">
        <f aca="false">J781-('City Fiscal'!$B$13*E781)</f>
        <v>46550.2597601405</v>
      </c>
      <c r="L781" s="30" t="n">
        <f aca="false">'Mobility &amp; Emissions'!$B$21*B781*F781</f>
        <v>93.6587868916678</v>
      </c>
    </row>
    <row r="782" customFormat="false" ht="15" hidden="false" customHeight="true" outlineLevel="0" collapsed="false">
      <c r="A782" s="14" t="n">
        <v>778</v>
      </c>
      <c r="B782" s="47" t="n">
        <v>0.952206194973287</v>
      </c>
      <c r="C782" s="47" t="n">
        <v>0.997811698152849</v>
      </c>
      <c r="D782" s="47" t="n">
        <v>0.900530908898921</v>
      </c>
      <c r="E782" s="47" t="n">
        <v>1.06351608648465</v>
      </c>
      <c r="F782" s="47" t="n">
        <v>0.940124913314799</v>
      </c>
      <c r="G782" s="27" t="n">
        <f aca="false">'Visitor Economics'!$B$5*B782</f>
        <v>30661.0394781398</v>
      </c>
      <c r="H782" s="29" t="n">
        <f aca="false">MAX(0,'Visitor Economics'!$B$18*B782*C782*D782)</f>
        <v>619117.22505504</v>
      </c>
      <c r="I782" s="29" t="n">
        <f aca="false">H782*Controls!$B$52</f>
        <v>879146.459578157</v>
      </c>
      <c r="J782" s="29" t="n">
        <f aca="false">'City Fiscal'!$B$5+(H782*Controls!$B$56*Controls!$B$55)+('City Fiscal'!$B$9*B782*F782)</f>
        <v>143954.905443139</v>
      </c>
      <c r="K782" s="29" t="n">
        <f aca="false">J782-('City Fiscal'!$B$13*E782)</f>
        <v>26968.1359298275</v>
      </c>
      <c r="L782" s="30" t="n">
        <f aca="false">'Mobility &amp; Emissions'!$B$21*B782*F782</f>
        <v>83.5498627258085</v>
      </c>
    </row>
    <row r="783" customFormat="false" ht="15" hidden="false" customHeight="true" outlineLevel="0" collapsed="false">
      <c r="A783" s="14" t="n">
        <v>779</v>
      </c>
      <c r="B783" s="47" t="n">
        <v>0.805596874809242</v>
      </c>
      <c r="C783" s="47" t="n">
        <v>0.934904308013233</v>
      </c>
      <c r="D783" s="47" t="n">
        <v>1.02984380544713</v>
      </c>
      <c r="E783" s="47" t="n">
        <v>1.04250602418383</v>
      </c>
      <c r="F783" s="47" t="n">
        <v>0.939372814658597</v>
      </c>
      <c r="G783" s="27" t="n">
        <f aca="false">'Visitor Economics'!$B$5*B783</f>
        <v>25940.2193688576</v>
      </c>
      <c r="H783" s="29" t="n">
        <f aca="false">MAX(0,'Visitor Economics'!$B$18*B783*C783*D783)</f>
        <v>561243.034878907</v>
      </c>
      <c r="I783" s="29" t="n">
        <f aca="false">H783*Controls!$B$52</f>
        <v>796965.109528048</v>
      </c>
      <c r="J783" s="29" t="n">
        <f aca="false">'City Fiscal'!$B$5+(H783*Controls!$B$56*Controls!$B$55)+('City Fiscal'!$B$9*B783*F783)</f>
        <v>128897.429469078</v>
      </c>
      <c r="K783" s="29" t="n">
        <f aca="false">J783-('City Fiscal'!$B$13*E783)</f>
        <v>14221.7668088566</v>
      </c>
      <c r="L783" s="30" t="n">
        <f aca="false">'Mobility &amp; Emissions'!$B$21*B783*F783</f>
        <v>70.629305650695</v>
      </c>
    </row>
    <row r="784" customFormat="false" ht="15" hidden="false" customHeight="true" outlineLevel="0" collapsed="false">
      <c r="A784" s="14" t="n">
        <v>780</v>
      </c>
      <c r="B784" s="47" t="n">
        <v>0.909679605181386</v>
      </c>
      <c r="C784" s="47" t="n">
        <v>1.01861952850771</v>
      </c>
      <c r="D784" s="47" t="n">
        <v>0.870093839967003</v>
      </c>
      <c r="E784" s="47" t="n">
        <v>1.06937262112293</v>
      </c>
      <c r="F784" s="47" t="n">
        <v>0.977896442483753</v>
      </c>
      <c r="G784" s="27" t="n">
        <f aca="false">'Visitor Economics'!$B$5*B784</f>
        <v>29291.6832868406</v>
      </c>
      <c r="H784" s="29" t="n">
        <f aca="false">MAX(0,'Visitor Economics'!$B$18*B784*C784*D784)</f>
        <v>583393.007757294</v>
      </c>
      <c r="I784" s="29" t="n">
        <f aca="false">H784*Controls!$B$52</f>
        <v>828418.071015357</v>
      </c>
      <c r="J784" s="29" t="n">
        <f aca="false">'City Fiscal'!$B$5+(H784*Controls!$B$56*Controls!$B$55)+('City Fiscal'!$B$9*B784*F784)</f>
        <v>143127.328740619</v>
      </c>
      <c r="K784" s="29" t="n">
        <f aca="false">J784-('City Fiscal'!$B$13*E784)</f>
        <v>25496.3404170969</v>
      </c>
      <c r="L784" s="30" t="n">
        <f aca="false">'Mobility &amp; Emissions'!$B$21*B784*F784</f>
        <v>83.0253090043097</v>
      </c>
    </row>
    <row r="785" customFormat="false" ht="15" hidden="false" customHeight="true" outlineLevel="0" collapsed="false">
      <c r="A785" s="14" t="n">
        <v>781</v>
      </c>
      <c r="B785" s="47" t="n">
        <v>0.885538618524216</v>
      </c>
      <c r="C785" s="47" t="n">
        <v>0.922220350224405</v>
      </c>
      <c r="D785" s="47" t="n">
        <v>1.10558306885964</v>
      </c>
      <c r="E785" s="47" t="n">
        <v>0.941427756299785</v>
      </c>
      <c r="F785" s="47" t="n">
        <v>1.05741220382793</v>
      </c>
      <c r="G785" s="27" t="n">
        <f aca="false">'Visitor Economics'!$B$5*B785</f>
        <v>28514.3435164798</v>
      </c>
      <c r="H785" s="29" t="n">
        <f aca="false">MAX(0,'Visitor Economics'!$B$18*B785*C785*D785)</f>
        <v>653323.463501763</v>
      </c>
      <c r="I785" s="29" t="n">
        <f aca="false">H785*Controls!$B$52</f>
        <v>927719.318172503</v>
      </c>
      <c r="J785" s="29" t="n">
        <f aca="false">'City Fiscal'!$B$5+(H785*Controls!$B$56*Controls!$B$55)+('City Fiscal'!$B$9*B785*F785)</f>
        <v>148544.758601819</v>
      </c>
      <c r="K785" s="29" t="n">
        <f aca="false">J785-('City Fiscal'!$B$13*E785)</f>
        <v>44987.7054088424</v>
      </c>
      <c r="L785" s="30" t="n">
        <f aca="false">'Mobility &amp; Emissions'!$B$21*B785*F785</f>
        <v>87.3938758513281</v>
      </c>
    </row>
    <row r="786" customFormat="false" ht="15" hidden="false" customHeight="true" outlineLevel="0" collapsed="false">
      <c r="A786" s="14" t="n">
        <v>782</v>
      </c>
      <c r="B786" s="47" t="n">
        <v>0.923688006977324</v>
      </c>
      <c r="C786" s="47" t="n">
        <v>0.953390404452494</v>
      </c>
      <c r="D786" s="47" t="n">
        <v>0.978352464063344</v>
      </c>
      <c r="E786" s="47" t="n">
        <v>1.00519140129481</v>
      </c>
      <c r="F786" s="47" t="n">
        <v>1.01408642451911</v>
      </c>
      <c r="G786" s="27" t="n">
        <f aca="false">'Visitor Economics'!$B$5*B786</f>
        <v>29742.7538246698</v>
      </c>
      <c r="H786" s="29" t="n">
        <f aca="false">MAX(0,'Visitor Economics'!$B$18*B786*C786*D786)</f>
        <v>623427.699008327</v>
      </c>
      <c r="I786" s="29" t="n">
        <f aca="false">H786*Controls!$B$52</f>
        <v>885267.332591824</v>
      </c>
      <c r="J786" s="29" t="n">
        <f aca="false">'City Fiscal'!$B$5+(H786*Controls!$B$56*Controls!$B$55)+('City Fiscal'!$B$9*B786*F786)</f>
        <v>148384.986230223</v>
      </c>
      <c r="K786" s="29" t="n">
        <f aca="false">J786-('City Fiscal'!$B$13*E786)</f>
        <v>37813.9320877941</v>
      </c>
      <c r="L786" s="30" t="n">
        <f aca="false">'Mobility &amp; Emissions'!$B$21*B786*F786</f>
        <v>87.4237537717713</v>
      </c>
    </row>
    <row r="787" customFormat="false" ht="15" hidden="false" customHeight="true" outlineLevel="0" collapsed="false">
      <c r="A787" s="14" t="n">
        <v>783</v>
      </c>
      <c r="B787" s="47" t="n">
        <v>0.784098780306384</v>
      </c>
      <c r="C787" s="47" t="n">
        <v>0.978716728796936</v>
      </c>
      <c r="D787" s="47" t="n">
        <v>0.978091645457349</v>
      </c>
      <c r="E787" s="47" t="n">
        <v>0.992511738731021</v>
      </c>
      <c r="F787" s="47" t="n">
        <v>1.05596543188806</v>
      </c>
      <c r="G787" s="27" t="n">
        <f aca="false">'Visitor Economics'!$B$5*B787</f>
        <v>25247.9807258656</v>
      </c>
      <c r="H787" s="29" t="n">
        <f aca="false">MAX(0,'Visitor Economics'!$B$18*B787*C787*D787)</f>
        <v>543127.770049154</v>
      </c>
      <c r="I787" s="29" t="n">
        <f aca="false">H787*Controls!$B$52</f>
        <v>771241.433469799</v>
      </c>
      <c r="J787" s="29" t="n">
        <f aca="false">'City Fiscal'!$B$5+(H787*Controls!$B$56*Controls!$B$55)+('City Fiscal'!$B$9*B787*F787)</f>
        <v>136334.119807889</v>
      </c>
      <c r="K787" s="29" t="n">
        <f aca="false">J787-('City Fiscal'!$B$13*E787)</f>
        <v>27157.8285474766</v>
      </c>
      <c r="L787" s="30" t="n">
        <f aca="false">'Mobility &amp; Emissions'!$B$21*B787*F787</f>
        <v>77.2768936350139</v>
      </c>
    </row>
    <row r="788" customFormat="false" ht="15" hidden="false" customHeight="true" outlineLevel="0" collapsed="false">
      <c r="A788" s="14" t="n">
        <v>784</v>
      </c>
      <c r="B788" s="47" t="n">
        <v>0.915135487567108</v>
      </c>
      <c r="C788" s="47" t="n">
        <v>0.964467989534014</v>
      </c>
      <c r="D788" s="47" t="n">
        <v>0.998210219742339</v>
      </c>
      <c r="E788" s="47" t="n">
        <v>1.22800568255208</v>
      </c>
      <c r="F788" s="47" t="n">
        <v>1.05106820531295</v>
      </c>
      <c r="G788" s="27" t="n">
        <f aca="false">'Visitor Economics'!$B$5*B788</f>
        <v>29467.3626996609</v>
      </c>
      <c r="H788" s="29" t="n">
        <f aca="false">MAX(0,'Visitor Economics'!$B$18*B788*C788*D788)</f>
        <v>637514.249625107</v>
      </c>
      <c r="I788" s="29" t="n">
        <f aca="false">H788*Controls!$B$52</f>
        <v>905270.234467651</v>
      </c>
      <c r="J788" s="29" t="n">
        <f aca="false">'City Fiscal'!$B$5+(H788*Controls!$B$56*Controls!$B$55)+('City Fiscal'!$B$9*B788*F788)</f>
        <v>151145.802529922</v>
      </c>
      <c r="K788" s="29" t="n">
        <f aca="false">J788-('City Fiscal'!$B$13*E788)</f>
        <v>16065.1774491931</v>
      </c>
      <c r="L788" s="30" t="n">
        <f aca="false">'Mobility &amp; Emissions'!$B$21*B788*F788</f>
        <v>89.7729449692691</v>
      </c>
    </row>
    <row r="789" customFormat="false" ht="15" hidden="false" customHeight="true" outlineLevel="0" collapsed="false">
      <c r="A789" s="14" t="n">
        <v>785</v>
      </c>
      <c r="B789" s="47" t="n">
        <v>0.916249770642009</v>
      </c>
      <c r="C789" s="47" t="n">
        <v>0.993352242558324</v>
      </c>
      <c r="D789" s="47" t="n">
        <v>1.09805017275429</v>
      </c>
      <c r="E789" s="47" t="n">
        <v>0.987965174961955</v>
      </c>
      <c r="F789" s="47" t="n">
        <v>0.90086747487344</v>
      </c>
      <c r="G789" s="27" t="n">
        <f aca="false">'Visitor Economics'!$B$5*B789</f>
        <v>29503.2426146727</v>
      </c>
      <c r="H789" s="29" t="n">
        <f aca="false">MAX(0,'Visitor Economics'!$B$18*B789*C789*D789)</f>
        <v>723159.356562528</v>
      </c>
      <c r="I789" s="29" t="n">
        <f aca="false">H789*Controls!$B$52</f>
        <v>1026886.28631879</v>
      </c>
      <c r="J789" s="29" t="n">
        <f aca="false">'City Fiscal'!$B$5+(H789*Controls!$B$56*Controls!$B$55)+('City Fiscal'!$B$9*B789*F789)</f>
        <v>137229.045459591</v>
      </c>
      <c r="K789" s="29" t="n">
        <f aca="false">J789-('City Fiscal'!$B$13*E789)</f>
        <v>28552.8762137758</v>
      </c>
      <c r="L789" s="30" t="n">
        <f aca="false">'Mobility &amp; Emissions'!$B$21*B789*F789</f>
        <v>77.0378160895778</v>
      </c>
    </row>
    <row r="790" customFormat="false" ht="15" hidden="false" customHeight="true" outlineLevel="0" collapsed="false">
      <c r="A790" s="14" t="n">
        <v>786</v>
      </c>
      <c r="B790" s="47" t="n">
        <v>0.854570771754086</v>
      </c>
      <c r="C790" s="47" t="n">
        <v>1.06484567106745</v>
      </c>
      <c r="D790" s="47" t="n">
        <v>0.907614654330919</v>
      </c>
      <c r="E790" s="47" t="n">
        <v>0.954435486386594</v>
      </c>
      <c r="F790" s="47" t="n">
        <v>1.04489291175187</v>
      </c>
      <c r="G790" s="27" t="n">
        <f aca="false">'Visitor Economics'!$B$5*B790</f>
        <v>27517.1788504816</v>
      </c>
      <c r="H790" s="29" t="n">
        <f aca="false">MAX(0,'Visitor Economics'!$B$18*B790*C790*D790)</f>
        <v>597627.912923703</v>
      </c>
      <c r="I790" s="29" t="n">
        <f aca="false">H790*Controls!$B$52</f>
        <v>848631.636351658</v>
      </c>
      <c r="J790" s="29" t="n">
        <f aca="false">'City Fiscal'!$B$5+(H790*Controls!$B$56*Controls!$B$55)+('City Fiscal'!$B$9*B790*F790)</f>
        <v>143576.192655182</v>
      </c>
      <c r="K790" s="29" t="n">
        <f aca="false">J790-('City Fiscal'!$B$13*E790)</f>
        <v>38588.2891526565</v>
      </c>
      <c r="L790" s="30" t="n">
        <f aca="false">'Mobility &amp; Emissions'!$B$21*B790*F790</f>
        <v>83.3391361259039</v>
      </c>
    </row>
    <row r="791" customFormat="false" ht="15" hidden="false" customHeight="true" outlineLevel="0" collapsed="false">
      <c r="A791" s="14" t="n">
        <v>787</v>
      </c>
      <c r="B791" s="47" t="n">
        <v>0.950458645397145</v>
      </c>
      <c r="C791" s="47" t="n">
        <v>1.04304546796972</v>
      </c>
      <c r="D791" s="47" t="n">
        <v>1.03855556285397</v>
      </c>
      <c r="E791" s="47" t="n">
        <v>1.19089204791232</v>
      </c>
      <c r="F791" s="47" t="n">
        <v>1.00714517859029</v>
      </c>
      <c r="G791" s="27" t="n">
        <f aca="false">'Visitor Economics'!$B$5*B791</f>
        <v>30604.7683817881</v>
      </c>
      <c r="H791" s="29" t="n">
        <f aca="false">MAX(0,'Visitor Economics'!$B$18*B791*C791*D791)</f>
        <v>745007.889151542</v>
      </c>
      <c r="I791" s="29" t="n">
        <f aca="false">H791*Controls!$B$52</f>
        <v>1057911.20259519</v>
      </c>
      <c r="J791" s="29" t="n">
        <f aca="false">'City Fiscal'!$B$5+(H791*Controls!$B$56*Controls!$B$55)+('City Fiscal'!$B$9*B791*F791)</f>
        <v>151352.372819015</v>
      </c>
      <c r="K791" s="29" t="n">
        <f aca="false">J791-('City Fiscal'!$B$13*E791)</f>
        <v>20354.2475486602</v>
      </c>
      <c r="L791" s="30" t="n">
        <f aca="false">'Mobility &amp; Emissions'!$B$21*B791*F791</f>
        <v>89.3417550936358</v>
      </c>
    </row>
    <row r="792" customFormat="false" ht="15" hidden="false" customHeight="true" outlineLevel="0" collapsed="false">
      <c r="A792" s="14" t="n">
        <v>788</v>
      </c>
      <c r="B792" s="47" t="n">
        <v>0.893366661766147</v>
      </c>
      <c r="C792" s="47" t="n">
        <v>0.955598672559874</v>
      </c>
      <c r="D792" s="47" t="n">
        <v>0.838854906337535</v>
      </c>
      <c r="E792" s="47" t="n">
        <v>1.00939918952755</v>
      </c>
      <c r="F792" s="47" t="n">
        <v>0.960736172951751</v>
      </c>
      <c r="G792" s="27" t="n">
        <f aca="false">'Visitor Economics'!$B$5*B792</f>
        <v>28766.4065088699</v>
      </c>
      <c r="H792" s="29" t="n">
        <f aca="false">MAX(0,'Visitor Economics'!$B$18*B792*C792*D792)</f>
        <v>518187.339529197</v>
      </c>
      <c r="I792" s="29" t="n">
        <f aca="false">H792*Controls!$B$52</f>
        <v>735826.022131459</v>
      </c>
      <c r="J792" s="29" t="n">
        <f aca="false">'City Fiscal'!$B$5+(H792*Controls!$B$56*Controls!$B$55)+('City Fiscal'!$B$9*B792*F792)</f>
        <v>139386.983250921</v>
      </c>
      <c r="K792" s="29" t="n">
        <f aca="false">J792-('City Fiscal'!$B$13*E792)</f>
        <v>28353.0724028905</v>
      </c>
      <c r="L792" s="30" t="n">
        <f aca="false">'Mobility &amp; Emissions'!$B$21*B792*F792</f>
        <v>80.1056337758792</v>
      </c>
    </row>
    <row r="793" customFormat="false" ht="15" hidden="false" customHeight="true" outlineLevel="0" collapsed="false">
      <c r="A793" s="14" t="n">
        <v>789</v>
      </c>
      <c r="B793" s="47" t="n">
        <v>0.956976194973645</v>
      </c>
      <c r="C793" s="47" t="n">
        <v>0.958162947276034</v>
      </c>
      <c r="D793" s="47" t="n">
        <v>1.02798367177165</v>
      </c>
      <c r="E793" s="47" t="n">
        <v>0.967082629837789</v>
      </c>
      <c r="F793" s="47" t="n">
        <v>0.955320938089252</v>
      </c>
      <c r="G793" s="27" t="n">
        <f aca="false">'Visitor Economics'!$B$5*B793</f>
        <v>30814.6334781514</v>
      </c>
      <c r="H793" s="29" t="n">
        <f aca="false">MAX(0,'Visitor Economics'!$B$18*B793*C793*D793)</f>
        <v>682058.135042467</v>
      </c>
      <c r="I793" s="29" t="n">
        <f aca="false">H793*Controls!$B$52</f>
        <v>968522.551760303</v>
      </c>
      <c r="J793" s="29" t="n">
        <f aca="false">'City Fiscal'!$B$5+(H793*Controls!$B$56*Controls!$B$55)+('City Fiscal'!$B$9*B793*F793)</f>
        <v>146380.703113607</v>
      </c>
      <c r="K793" s="29" t="n">
        <f aca="false">J793-('City Fiscal'!$B$13*E793)</f>
        <v>40001.61383145</v>
      </c>
      <c r="L793" s="30" t="n">
        <f aca="false">'Mobility &amp; Emissions'!$B$21*B793*F793</f>
        <v>85.3256504307079</v>
      </c>
    </row>
    <row r="794" customFormat="false" ht="15" hidden="false" customHeight="true" outlineLevel="0" collapsed="false">
      <c r="A794" s="14" t="n">
        <v>790</v>
      </c>
      <c r="B794" s="47" t="n">
        <v>0.994780959574163</v>
      </c>
      <c r="C794" s="47" t="n">
        <v>0.983575670562587</v>
      </c>
      <c r="D794" s="47" t="n">
        <v>0.981455950520207</v>
      </c>
      <c r="E794" s="47" t="n">
        <v>1.05588985085782</v>
      </c>
      <c r="F794" s="47" t="n">
        <v>1.02860189457821</v>
      </c>
      <c r="G794" s="27" t="n">
        <f aca="false">'Visitor Economics'!$B$5*B794</f>
        <v>32031.9468982881</v>
      </c>
      <c r="H794" s="29" t="n">
        <f aca="false">MAX(0,'Visitor Economics'!$B$18*B794*C794*D794)</f>
        <v>694865.45881255</v>
      </c>
      <c r="I794" s="29" t="n">
        <f aca="false">H794*Controls!$B$52</f>
        <v>986708.95151382</v>
      </c>
      <c r="J794" s="29" t="n">
        <f aca="false">'City Fiscal'!$B$5+(H794*Controls!$B$56*Controls!$B$55)+('City Fiscal'!$B$9*B794*F794)</f>
        <v>158025.602594994</v>
      </c>
      <c r="K794" s="29" t="n">
        <f aca="false">J794-('City Fiscal'!$B$13*E794)</f>
        <v>41877.7190006343</v>
      </c>
      <c r="L794" s="30" t="n">
        <f aca="false">'Mobility &amp; Emissions'!$B$21*B794*F794</f>
        <v>95.5001294912624</v>
      </c>
    </row>
    <row r="795" customFormat="false" ht="15" hidden="false" customHeight="true" outlineLevel="0" collapsed="false">
      <c r="A795" s="14" t="n">
        <v>791</v>
      </c>
      <c r="B795" s="47" t="n">
        <v>0.969681017498364</v>
      </c>
      <c r="C795" s="47" t="n">
        <v>0.992571724219236</v>
      </c>
      <c r="D795" s="47" t="n">
        <v>0.975728638681211</v>
      </c>
      <c r="E795" s="47" t="n">
        <v>0.868587035307786</v>
      </c>
      <c r="F795" s="47" t="n">
        <v>0.956805898713507</v>
      </c>
      <c r="G795" s="27" t="n">
        <f aca="false">'Visitor Economics'!$B$5*B795</f>
        <v>31223.7287634473</v>
      </c>
      <c r="H795" s="29" t="n">
        <f aca="false">MAX(0,'Visitor Economics'!$B$18*B795*C795*D795)</f>
        <v>679539.200370806</v>
      </c>
      <c r="I795" s="29" t="n">
        <f aca="false">H795*Controls!$B$52</f>
        <v>964945.664526544</v>
      </c>
      <c r="J795" s="29" t="n">
        <f aca="false">'City Fiscal'!$B$5+(H795*Controls!$B$56*Controls!$B$55)+('City Fiscal'!$B$9*B795*F795)</f>
        <v>147804.352909574</v>
      </c>
      <c r="K795" s="29" t="n">
        <f aca="false">J795-('City Fiscal'!$B$13*E795)</f>
        <v>52259.7790257171</v>
      </c>
      <c r="L795" s="30" t="n">
        <f aca="false">'Mobility &amp; Emissions'!$B$21*B795*F795</f>
        <v>86.5928262242303</v>
      </c>
    </row>
    <row r="796" customFormat="false" ht="15" hidden="false" customHeight="true" outlineLevel="0" collapsed="false">
      <c r="A796" s="14" t="n">
        <v>792</v>
      </c>
      <c r="B796" s="47" t="n">
        <v>0.950114379161375</v>
      </c>
      <c r="C796" s="47" t="n">
        <v>0.977178242769157</v>
      </c>
      <c r="D796" s="47" t="n">
        <v>0.97704491873682</v>
      </c>
      <c r="E796" s="47" t="n">
        <v>0.980904630138477</v>
      </c>
      <c r="F796" s="47" t="n">
        <v>0.917915388536031</v>
      </c>
      <c r="G796" s="27" t="n">
        <f aca="false">'Visitor Economics'!$B$5*B796</f>
        <v>30593.6830089963</v>
      </c>
      <c r="H796" s="29" t="n">
        <f aca="false">MAX(0,'Visitor Economics'!$B$18*B796*C796*D796)</f>
        <v>656385.350222733</v>
      </c>
      <c r="I796" s="29" t="n">
        <f aca="false">H796*Controls!$B$52</f>
        <v>932067.19731628</v>
      </c>
      <c r="J796" s="29" t="n">
        <f aca="false">'City Fiscal'!$B$5+(H796*Controls!$B$56*Controls!$B$55)+('City Fiscal'!$B$9*B796*F796)</f>
        <v>141749.822997419</v>
      </c>
      <c r="K796" s="29" t="n">
        <f aca="false">J796-('City Fiscal'!$B$13*E796)</f>
        <v>33850.3136821869</v>
      </c>
      <c r="L796" s="30" t="n">
        <f aca="false">'Mobility &amp; Emissions'!$B$21*B796*F796</f>
        <v>81.396872416619</v>
      </c>
    </row>
    <row r="797" customFormat="false" ht="15" hidden="false" customHeight="true" outlineLevel="0" collapsed="false">
      <c r="A797" s="14" t="n">
        <v>793</v>
      </c>
      <c r="B797" s="47" t="n">
        <v>1.01653589838486</v>
      </c>
      <c r="C797" s="47" t="n">
        <v>1.08579473724703</v>
      </c>
      <c r="D797" s="47" t="n">
        <v>1.05027206004167</v>
      </c>
      <c r="E797" s="47" t="n">
        <v>1.10064722968756</v>
      </c>
      <c r="F797" s="47" t="n">
        <v>0.935775870732975</v>
      </c>
      <c r="G797" s="27" t="n">
        <f aca="false">'Visitor Economics'!$B$5*B797</f>
        <v>32732.4559279925</v>
      </c>
      <c r="H797" s="29" t="n">
        <f aca="false">MAX(0,'Visitor Economics'!$B$18*B797*C797*D797)</f>
        <v>838816.441267786</v>
      </c>
      <c r="I797" s="29" t="n">
        <f aca="false">H797*Controls!$B$52</f>
        <v>1191119.34660026</v>
      </c>
      <c r="J797" s="29" t="n">
        <f aca="false">'City Fiscal'!$B$5+(H797*Controls!$B$56*Controls!$B$55)+('City Fiscal'!$B$9*B797*F797)</f>
        <v>151323.891600031</v>
      </c>
      <c r="K797" s="29" t="n">
        <f aca="false">J797-('City Fiscal'!$B$13*E797)</f>
        <v>30252.6963343999</v>
      </c>
      <c r="L797" s="30" t="n">
        <f aca="false">'Mobility &amp; Emissions'!$B$21*B797*F797</f>
        <v>88.7817577333423</v>
      </c>
    </row>
    <row r="798" customFormat="false" ht="15" hidden="false" customHeight="true" outlineLevel="0" collapsed="false">
      <c r="A798" s="14" t="n">
        <v>794</v>
      </c>
      <c r="B798" s="47" t="n">
        <v>0.88131534928134</v>
      </c>
      <c r="C798" s="47" t="n">
        <v>0.98456305782283</v>
      </c>
      <c r="D798" s="47" t="n">
        <v>0.938022466757104</v>
      </c>
      <c r="E798" s="47" t="n">
        <v>1.13954073148893</v>
      </c>
      <c r="F798" s="47" t="n">
        <v>0.953597779898992</v>
      </c>
      <c r="G798" s="27" t="n">
        <f aca="false">'Visitor Economics'!$B$5*B798</f>
        <v>28378.3542468591</v>
      </c>
      <c r="H798" s="29" t="n">
        <f aca="false">MAX(0,'Visitor Economics'!$B$18*B798*C798*D798)</f>
        <v>588955.904841844</v>
      </c>
      <c r="I798" s="29" t="n">
        <f aca="false">H798*Controls!$B$52</f>
        <v>836317.384875418</v>
      </c>
      <c r="J798" s="29" t="n">
        <f aca="false">'City Fiscal'!$B$5+(H798*Controls!$B$56*Controls!$B$55)+('City Fiscal'!$B$9*B798*F798)</f>
        <v>137950.367168905</v>
      </c>
      <c r="K798" s="29" t="n">
        <f aca="false">J798-('City Fiscal'!$B$13*E798)</f>
        <v>12600.8867051228</v>
      </c>
      <c r="L798" s="30" t="n">
        <f aca="false">'Mobility &amp; Emissions'!$B$21*B798*F798</f>
        <v>78.4378609568664</v>
      </c>
    </row>
    <row r="799" customFormat="false" ht="15" hidden="false" customHeight="true" outlineLevel="0" collapsed="false">
      <c r="A799" s="14" t="n">
        <v>795</v>
      </c>
      <c r="B799" s="47" t="n">
        <v>0.927112971842135</v>
      </c>
      <c r="C799" s="47" t="n">
        <v>1.01191669879209</v>
      </c>
      <c r="D799" s="47" t="n">
        <v>0.864159966730032</v>
      </c>
      <c r="E799" s="47" t="n">
        <v>1.04511283593158</v>
      </c>
      <c r="F799" s="47" t="n">
        <v>1.11003126221658</v>
      </c>
      <c r="G799" s="27" t="n">
        <f aca="false">'Visitor Economics'!$B$5*B799</f>
        <v>29853.0376933168</v>
      </c>
      <c r="H799" s="29" t="n">
        <f aca="false">MAX(0,'Visitor Economics'!$B$18*B799*C799*D799)</f>
        <v>586632.653334945</v>
      </c>
      <c r="I799" s="29" t="n">
        <f aca="false">H799*Controls!$B$52</f>
        <v>833018.367735621</v>
      </c>
      <c r="J799" s="29" t="n">
        <f aca="false">'City Fiscal'!$B$5+(H799*Controls!$B$56*Controls!$B$55)+('City Fiscal'!$B$9*B799*F799)</f>
        <v>157949.02518031</v>
      </c>
      <c r="K799" s="29" t="n">
        <f aca="false">J799-('City Fiscal'!$B$13*E799)</f>
        <v>42986.6132278365</v>
      </c>
      <c r="L799" s="30" t="n">
        <f aca="false">'Mobility &amp; Emissions'!$B$21*B799*F799</f>
        <v>96.0499281162959</v>
      </c>
    </row>
    <row r="800" customFormat="false" ht="15" hidden="false" customHeight="true" outlineLevel="0" collapsed="false">
      <c r="A800" s="14" t="n">
        <v>796</v>
      </c>
      <c r="B800" s="47" t="n">
        <v>0.840378804227974</v>
      </c>
      <c r="C800" s="47" t="n">
        <v>0.999022344974028</v>
      </c>
      <c r="D800" s="47" t="n">
        <v>0.895716463824298</v>
      </c>
      <c r="E800" s="47" t="n">
        <v>1.05015943855163</v>
      </c>
      <c r="F800" s="47" t="n">
        <v>1.05175286263712</v>
      </c>
      <c r="G800" s="27" t="n">
        <f aca="false">'Visitor Economics'!$B$5*B800</f>
        <v>27060.1974961408</v>
      </c>
      <c r="H800" s="29" t="n">
        <f aca="false">MAX(0,'Visitor Economics'!$B$18*B800*C800*D800)</f>
        <v>544146.097458233</v>
      </c>
      <c r="I800" s="29" t="n">
        <f aca="false">H800*Controls!$B$52</f>
        <v>772687.458390691</v>
      </c>
      <c r="J800" s="29" t="n">
        <f aca="false">'City Fiscal'!$B$5+(H800*Controls!$B$56*Controls!$B$55)+('City Fiscal'!$B$9*B800*F800)</f>
        <v>142268.300304707</v>
      </c>
      <c r="K800" s="29" t="n">
        <f aca="false">J800-('City Fiscal'!$B$13*E800)</f>
        <v>26750.7620640277</v>
      </c>
      <c r="L800" s="30" t="n">
        <f aca="false">'Mobility &amp; Emissions'!$B$21*B800*F800</f>
        <v>82.4931655619963</v>
      </c>
    </row>
    <row r="801" customFormat="false" ht="15" hidden="false" customHeight="true" outlineLevel="0" collapsed="false">
      <c r="A801" s="14" t="n">
        <v>797</v>
      </c>
      <c r="B801" s="47" t="n">
        <v>0.912118128960412</v>
      </c>
      <c r="C801" s="47" t="n">
        <v>1.06752143294639</v>
      </c>
      <c r="D801" s="47" t="n">
        <v>0.840586302082236</v>
      </c>
      <c r="E801" s="47" t="n">
        <v>1.09885850999808</v>
      </c>
      <c r="F801" s="47" t="n">
        <v>1.10425614795407</v>
      </c>
      <c r="G801" s="27" t="n">
        <f aca="false">'Visitor Economics'!$B$5*B801</f>
        <v>29370.2037525253</v>
      </c>
      <c r="H801" s="29" t="n">
        <f aca="false">MAX(0,'Visitor Economics'!$B$18*B801*C801*D801)</f>
        <v>592249.454149918</v>
      </c>
      <c r="I801" s="29" t="n">
        <f aca="false">H801*Controls!$B$52</f>
        <v>840994.224892883</v>
      </c>
      <c r="J801" s="29" t="n">
        <f aca="false">'City Fiscal'!$B$5+(H801*Controls!$B$56*Controls!$B$55)+('City Fiscal'!$B$9*B801*F801)</f>
        <v>155661.4276368</v>
      </c>
      <c r="K801" s="29" t="n">
        <f aca="false">J801-('City Fiscal'!$B$13*E801)</f>
        <v>34786.9915370113</v>
      </c>
      <c r="L801" s="30" t="n">
        <f aca="false">'Mobility &amp; Emissions'!$B$21*B801*F801</f>
        <v>94.0048130330396</v>
      </c>
    </row>
    <row r="802" customFormat="false" ht="15" hidden="false" customHeight="true" outlineLevel="0" collapsed="false">
      <c r="A802" s="14" t="n">
        <v>798</v>
      </c>
      <c r="B802" s="47" t="n">
        <v>0.858307087801808</v>
      </c>
      <c r="C802" s="47" t="n">
        <v>0.948440647771646</v>
      </c>
      <c r="D802" s="47" t="n">
        <v>0.995348322491725</v>
      </c>
      <c r="E802" s="47" t="n">
        <v>1.04775324477263</v>
      </c>
      <c r="F802" s="47" t="n">
        <v>1.00651655147718</v>
      </c>
      <c r="G802" s="27" t="n">
        <f aca="false">'Visitor Economics'!$B$5*B802</f>
        <v>27637.4882272182</v>
      </c>
      <c r="H802" s="29" t="n">
        <f aca="false">MAX(0,'Visitor Economics'!$B$18*B802*C802*D802)</f>
        <v>586303.674180585</v>
      </c>
      <c r="I802" s="29" t="n">
        <f aca="false">H802*Controls!$B$52</f>
        <v>832551.217336431</v>
      </c>
      <c r="J802" s="29" t="n">
        <f aca="false">'City Fiscal'!$B$5+(H802*Controls!$B$56*Controls!$B$55)+('City Fiscal'!$B$9*B802*F802)</f>
        <v>140423.432703741</v>
      </c>
      <c r="K802" s="29" t="n">
        <f aca="false">J802-('City Fiscal'!$B$13*E802)</f>
        <v>25170.5757787515</v>
      </c>
      <c r="L802" s="30" t="n">
        <f aca="false">'Mobility &amp; Emissions'!$B$21*B802*F802</f>
        <v>80.6292827076445</v>
      </c>
    </row>
    <row r="803" customFormat="false" ht="15" hidden="false" customHeight="true" outlineLevel="0" collapsed="false">
      <c r="A803" s="14" t="n">
        <v>799</v>
      </c>
      <c r="B803" s="47" t="n">
        <v>0.947419010753504</v>
      </c>
      <c r="C803" s="47" t="n">
        <v>1.02390629573172</v>
      </c>
      <c r="D803" s="47" t="n">
        <v>1.06053694291498</v>
      </c>
      <c r="E803" s="47" t="n">
        <v>0.984237328278318</v>
      </c>
      <c r="F803" s="47" t="n">
        <v>0.997504237227274</v>
      </c>
      <c r="G803" s="27" t="n">
        <f aca="false">'Visitor Economics'!$B$5*B803</f>
        <v>30506.8921462628</v>
      </c>
      <c r="H803" s="29" t="n">
        <f aca="false">MAX(0,'Visitor Economics'!$B$18*B803*C803*D803)</f>
        <v>744428.136291897</v>
      </c>
      <c r="I803" s="29" t="n">
        <f aca="false">H803*Controls!$B$52</f>
        <v>1057087.95353449</v>
      </c>
      <c r="J803" s="29" t="n">
        <f aca="false">'City Fiscal'!$B$5+(H803*Controls!$B$56*Controls!$B$55)+('City Fiscal'!$B$9*B803*F803)</f>
        <v>150055.190905301</v>
      </c>
      <c r="K803" s="29" t="n">
        <f aca="false">J803-('City Fiscal'!$B$13*E803)</f>
        <v>41789.0847946858</v>
      </c>
      <c r="L803" s="30" t="n">
        <f aca="false">'Mobility &amp; Emissions'!$B$21*B803*F803</f>
        <v>88.2035409922738</v>
      </c>
    </row>
    <row r="804" customFormat="false" ht="15" hidden="false" customHeight="true" outlineLevel="0" collapsed="false">
      <c r="A804" s="14" t="n">
        <v>800</v>
      </c>
      <c r="B804" s="47" t="n">
        <v>0.911224997618594</v>
      </c>
      <c r="C804" s="47" t="n">
        <v>1.10055777790478</v>
      </c>
      <c r="D804" s="47" t="n">
        <v>1.03939076468493</v>
      </c>
      <c r="E804" s="47" t="n">
        <v>0.897449983860554</v>
      </c>
      <c r="F804" s="47" t="n">
        <v>0.901744564931981</v>
      </c>
      <c r="G804" s="27" t="n">
        <f aca="false">'Visitor Economics'!$B$5*B804</f>
        <v>29341.4449233187</v>
      </c>
      <c r="H804" s="29" t="n">
        <f aca="false">MAX(0,'Visitor Economics'!$B$18*B804*C804*D804)</f>
        <v>754244.228904288</v>
      </c>
      <c r="I804" s="29" t="n">
        <f aca="false">H804*Controls!$B$52</f>
        <v>1071026.80504409</v>
      </c>
      <c r="J804" s="29" t="n">
        <f aca="false">'City Fiscal'!$B$5+(H804*Controls!$B$56*Controls!$B$55)+('City Fiscal'!$B$9*B804*F804)</f>
        <v>137035.149056874</v>
      </c>
      <c r="K804" s="29" t="n">
        <f aca="false">J804-('City Fiscal'!$B$13*E804)</f>
        <v>38315.6508322133</v>
      </c>
      <c r="L804" s="30" t="n">
        <f aca="false">'Mobility &amp; Emissions'!$B$21*B804*F804</f>
        <v>76.6899288791455</v>
      </c>
    </row>
    <row r="805" customFormat="false" ht="15" hidden="false" customHeight="true" outlineLevel="0" collapsed="false">
      <c r="A805" s="14" t="n">
        <v>801</v>
      </c>
      <c r="B805" s="47" t="n">
        <v>0.979158844286676</v>
      </c>
      <c r="C805" s="47" t="n">
        <v>0.831618950038622</v>
      </c>
      <c r="D805" s="47" t="n">
        <v>0.903077617786501</v>
      </c>
      <c r="E805" s="47" t="n">
        <v>0.95558207846172</v>
      </c>
      <c r="F805" s="47" t="n">
        <v>0.963743131660773</v>
      </c>
      <c r="G805" s="27" t="n">
        <f aca="false">'Visitor Economics'!$B$5*B805</f>
        <v>31528.914786031</v>
      </c>
      <c r="H805" s="29" t="n">
        <f aca="false">MAX(0,'Visitor Economics'!$B$18*B805*C805*D805)</f>
        <v>532104.922153937</v>
      </c>
      <c r="I805" s="29" t="n">
        <f aca="false">H805*Controls!$B$52</f>
        <v>755588.989458591</v>
      </c>
      <c r="J805" s="29" t="n">
        <f aca="false">'City Fiscal'!$B$5+(H805*Controls!$B$56*Controls!$B$55)+('City Fiscal'!$B$9*B805*F805)</f>
        <v>148531.186544739</v>
      </c>
      <c r="K805" s="29" t="n">
        <f aca="false">J805-('City Fiscal'!$B$13*E805)</f>
        <v>43417.1579139493</v>
      </c>
      <c r="L805" s="30" t="n">
        <f aca="false">'Mobility &amp; Emissions'!$B$21*B805*F805</f>
        <v>88.0731690512793</v>
      </c>
    </row>
    <row r="806" customFormat="false" ht="15" hidden="false" customHeight="true" outlineLevel="0" collapsed="false">
      <c r="A806" s="14" t="n">
        <v>802</v>
      </c>
      <c r="B806" s="47" t="n">
        <v>0.940476418591716</v>
      </c>
      <c r="C806" s="47" t="n">
        <v>1.04737768937854</v>
      </c>
      <c r="D806" s="47" t="n">
        <v>0.837071008401815</v>
      </c>
      <c r="E806" s="47" t="n">
        <v>1.00629167022853</v>
      </c>
      <c r="F806" s="47" t="n">
        <v>1.05454058453982</v>
      </c>
      <c r="G806" s="27" t="n">
        <f aca="false">'Visitor Economics'!$B$5*B806</f>
        <v>30283.3406786533</v>
      </c>
      <c r="H806" s="29" t="n">
        <f aca="false">MAX(0,'Visitor Economics'!$B$18*B806*C806*D806)</f>
        <v>596634.275729019</v>
      </c>
      <c r="I806" s="29" t="n">
        <f aca="false">H806*Controls!$B$52</f>
        <v>847220.671535206</v>
      </c>
      <c r="J806" s="29" t="n">
        <f aca="false">'City Fiscal'!$B$5+(H806*Controls!$B$56*Controls!$B$55)+('City Fiscal'!$B$9*B806*F806)</f>
        <v>154052.135160674</v>
      </c>
      <c r="K806" s="29" t="n">
        <f aca="false">J806-('City Fiscal'!$B$13*E806)</f>
        <v>43360.0514355362</v>
      </c>
      <c r="L806" s="30" t="n">
        <f aca="false">'Mobility &amp; Emissions'!$B$21*B806*F806</f>
        <v>92.5636316474764</v>
      </c>
    </row>
    <row r="807" customFormat="false" ht="15" hidden="false" customHeight="true" outlineLevel="0" collapsed="false">
      <c r="A807" s="14" t="n">
        <v>803</v>
      </c>
      <c r="B807" s="47" t="n">
        <v>0.940930410396917</v>
      </c>
      <c r="C807" s="47" t="n">
        <v>0.987490298226494</v>
      </c>
      <c r="D807" s="47" t="n">
        <v>0.910022690327496</v>
      </c>
      <c r="E807" s="47" t="n">
        <v>0.908196938722384</v>
      </c>
      <c r="F807" s="47" t="n">
        <v>1.07076932412253</v>
      </c>
      <c r="G807" s="27" t="n">
        <f aca="false">'Visitor Economics'!$B$5*B807</f>
        <v>30297.9592147807</v>
      </c>
      <c r="H807" s="29" t="n">
        <f aca="false">MAX(0,'Visitor Economics'!$B$18*B807*C807*D807)</f>
        <v>611839.107982701</v>
      </c>
      <c r="I807" s="29" t="n">
        <f aca="false">H807*Controls!$B$52</f>
        <v>868811.533335435</v>
      </c>
      <c r="J807" s="29" t="n">
        <f aca="false">'City Fiscal'!$B$5+(H807*Controls!$B$56*Controls!$B$55)+('City Fiscal'!$B$9*B807*F807)</f>
        <v>155820.967661855</v>
      </c>
      <c r="K807" s="29" t="n">
        <f aca="false">J807-('City Fiscal'!$B$13*E807)</f>
        <v>55919.3044023928</v>
      </c>
      <c r="L807" s="30" t="n">
        <f aca="false">'Mobility &amp; Emissions'!$B$21*B807*F807</f>
        <v>94.0335002130719</v>
      </c>
    </row>
    <row r="808" customFormat="false" ht="15" hidden="false" customHeight="true" outlineLevel="0" collapsed="false">
      <c r="A808" s="14" t="n">
        <v>804</v>
      </c>
      <c r="B808" s="47" t="n">
        <v>0.790844353369381</v>
      </c>
      <c r="C808" s="47" t="n">
        <v>0.957182360382084</v>
      </c>
      <c r="D808" s="47" t="n">
        <v>1.06084728392117</v>
      </c>
      <c r="E808" s="47" t="n">
        <v>0.884948441089837</v>
      </c>
      <c r="F808" s="47" t="n">
        <v>0.950511193406506</v>
      </c>
      <c r="G808" s="27" t="n">
        <f aca="false">'Visitor Economics'!$B$5*B808</f>
        <v>25465.1881784941</v>
      </c>
      <c r="H808" s="29" t="n">
        <f aca="false">MAX(0,'Visitor Economics'!$B$18*B808*C808*D808)</f>
        <v>581076.407718787</v>
      </c>
      <c r="I808" s="29" t="n">
        <f aca="false">H808*Controls!$B$52</f>
        <v>825128.498960678</v>
      </c>
      <c r="J808" s="29" t="n">
        <f aca="false">'City Fiscal'!$B$5+(H808*Controls!$B$56*Controls!$B$55)+('City Fiscal'!$B$9*B808*F808)</f>
        <v>128490.417346325</v>
      </c>
      <c r="K808" s="29" t="n">
        <f aca="false">J808-('City Fiscal'!$B$13*E808)</f>
        <v>31146.0888264425</v>
      </c>
      <c r="L808" s="30" t="n">
        <f aca="false">'Mobility &amp; Emissions'!$B$21*B808*F808</f>
        <v>70.15803715739</v>
      </c>
    </row>
    <row r="809" customFormat="false" ht="15" hidden="false" customHeight="true" outlineLevel="0" collapsed="false">
      <c r="A809" s="14" t="n">
        <v>805</v>
      </c>
      <c r="B809" s="47" t="n">
        <v>0.97313850194456</v>
      </c>
      <c r="C809" s="47" t="n">
        <v>0.971403434571347</v>
      </c>
      <c r="D809" s="47" t="n">
        <v>1.08471615323934</v>
      </c>
      <c r="E809" s="47" t="n">
        <v>0.985645102553622</v>
      </c>
      <c r="F809" s="47" t="n">
        <v>1.01777859477377</v>
      </c>
      <c r="G809" s="27" t="n">
        <f aca="false">'Visitor Economics'!$B$5*B809</f>
        <v>31335.0597626148</v>
      </c>
      <c r="H809" s="29" t="n">
        <f aca="false">MAX(0,'Visitor Economics'!$B$18*B809*C809*D809)</f>
        <v>741967.815911243</v>
      </c>
      <c r="I809" s="29" t="n">
        <f aca="false">H809*Controls!$B$52</f>
        <v>1053594.29859397</v>
      </c>
      <c r="J809" s="29" t="n">
        <f aca="false">'City Fiscal'!$B$5+(H809*Controls!$B$56*Controls!$B$55)+('City Fiscal'!$B$9*B809*F809)</f>
        <v>154852.73069502</v>
      </c>
      <c r="K809" s="29" t="n">
        <f aca="false">J809-('City Fiscal'!$B$13*E809)</f>
        <v>46431.7694141218</v>
      </c>
      <c r="L809" s="30" t="n">
        <f aca="false">'Mobility &amp; Emissions'!$B$21*B809*F809</f>
        <v>92.4394057381656</v>
      </c>
    </row>
    <row r="810" customFormat="false" ht="15" hidden="false" customHeight="true" outlineLevel="0" collapsed="false">
      <c r="A810" s="14" t="n">
        <v>806</v>
      </c>
      <c r="B810" s="47" t="n">
        <v>0.853664102519477</v>
      </c>
      <c r="C810" s="47" t="n">
        <v>1.05278393049278</v>
      </c>
      <c r="D810" s="47" t="n">
        <v>1.01387768000462</v>
      </c>
      <c r="E810" s="47" t="n">
        <v>1.09055173252744</v>
      </c>
      <c r="F810" s="47" t="n">
        <v>0.971212623105022</v>
      </c>
      <c r="G810" s="27" t="n">
        <f aca="false">'Visitor Economics'!$B$5*B810</f>
        <v>27487.9841011272</v>
      </c>
      <c r="H810" s="29" t="n">
        <f aca="false">MAX(0,'Visitor Economics'!$B$18*B810*C810*D810)</f>
        <v>659335.55898187</v>
      </c>
      <c r="I810" s="29" t="n">
        <f aca="false">H810*Controls!$B$52</f>
        <v>936256.493754256</v>
      </c>
      <c r="J810" s="29" t="n">
        <f aca="false">'City Fiscal'!$B$5+(H810*Controls!$B$56*Controls!$B$55)+('City Fiscal'!$B$9*B810*F810)</f>
        <v>137204.674761053</v>
      </c>
      <c r="K810" s="29" t="n">
        <f aca="false">J810-('City Fiscal'!$B$13*E810)</f>
        <v>17243.9841830341</v>
      </c>
      <c r="L810" s="30" t="n">
        <f aca="false">'Mobility &amp; Emissions'!$B$21*B810*F810</f>
        <v>77.380318698188</v>
      </c>
    </row>
    <row r="811" customFormat="false" ht="15" hidden="false" customHeight="true" outlineLevel="0" collapsed="false">
      <c r="A811" s="14" t="n">
        <v>807</v>
      </c>
      <c r="B811" s="47" t="n">
        <v>0.902347047369358</v>
      </c>
      <c r="C811" s="47" t="n">
        <v>0.943511133101433</v>
      </c>
      <c r="D811" s="47" t="n">
        <v>0.976256210092827</v>
      </c>
      <c r="E811" s="47" t="n">
        <v>1.02107588593597</v>
      </c>
      <c r="F811" s="47" t="n">
        <v>0.884532593299664</v>
      </c>
      <c r="G811" s="27" t="n">
        <f aca="false">'Visitor Economics'!$B$5*B811</f>
        <v>29055.5749252933</v>
      </c>
      <c r="H811" s="29" t="n">
        <f aca="false">MAX(0,'Visitor Economics'!$B$18*B811*C811*D811)</f>
        <v>601421.721887583</v>
      </c>
      <c r="I811" s="29" t="n">
        <f aca="false">H811*Controls!$B$52</f>
        <v>854018.845080368</v>
      </c>
      <c r="J811" s="29" t="n">
        <f aca="false">'City Fiscal'!$B$5+(H811*Controls!$B$56*Controls!$B$55)+('City Fiscal'!$B$9*B811*F811)</f>
        <v>133548.574015833</v>
      </c>
      <c r="K811" s="29" t="n">
        <f aca="false">J811-('City Fiscal'!$B$13*E811)</f>
        <v>21230.2265628762</v>
      </c>
      <c r="L811" s="30" t="n">
        <f aca="false">'Mobility &amp; Emissions'!$B$21*B811*F811</f>
        <v>74.4931979070413</v>
      </c>
    </row>
    <row r="812" customFormat="false" ht="15" hidden="false" customHeight="true" outlineLevel="0" collapsed="false">
      <c r="A812" s="14" t="n">
        <v>808</v>
      </c>
      <c r="B812" s="47" t="n">
        <v>0.979453730134574</v>
      </c>
      <c r="C812" s="47" t="n">
        <v>0.882136945531624</v>
      </c>
      <c r="D812" s="47" t="n">
        <v>0.98727445573442</v>
      </c>
      <c r="E812" s="47" t="n">
        <v>1.13905519390255</v>
      </c>
      <c r="F812" s="47" t="n">
        <v>0.941118055290925</v>
      </c>
      <c r="G812" s="27" t="n">
        <f aca="false">'Visitor Economics'!$B$5*B812</f>
        <v>31538.4101103333</v>
      </c>
      <c r="H812" s="29" t="n">
        <f aca="false">MAX(0,'Visitor Economics'!$B$18*B812*C812*D812)</f>
        <v>617237.787777357</v>
      </c>
      <c r="I812" s="29" t="n">
        <f aca="false">H812*Controls!$B$52</f>
        <v>876477.658643846</v>
      </c>
      <c r="J812" s="29" t="n">
        <f aca="false">'City Fiscal'!$B$5+(H812*Controls!$B$56*Controls!$B$55)+('City Fiscal'!$B$9*B812*F812)</f>
        <v>146762.704046875</v>
      </c>
      <c r="K812" s="29" t="n">
        <f aca="false">J812-('City Fiscal'!$B$13*E812)</f>
        <v>21466.6327175941</v>
      </c>
      <c r="L812" s="30" t="n">
        <f aca="false">'Mobility &amp; Emissions'!$B$21*B812*F812</f>
        <v>86.0314428002281</v>
      </c>
    </row>
    <row r="813" customFormat="false" ht="15" hidden="false" customHeight="true" outlineLevel="0" collapsed="false">
      <c r="A813" s="14" t="n">
        <v>809</v>
      </c>
      <c r="B813" s="47" t="n">
        <v>1.014</v>
      </c>
      <c r="C813" s="47" t="n">
        <v>0.906792856848937</v>
      </c>
      <c r="D813" s="47" t="n">
        <v>1.0479325607625</v>
      </c>
      <c r="E813" s="47" t="n">
        <v>1.08330041991655</v>
      </c>
      <c r="F813" s="47" t="n">
        <v>0.961545954655469</v>
      </c>
      <c r="G813" s="27" t="n">
        <f aca="false">'Visitor Economics'!$B$5*B813</f>
        <v>32650.8</v>
      </c>
      <c r="H813" s="29" t="n">
        <f aca="false">MAX(0,'Visitor Economics'!$B$18*B813*C813*D813)</f>
        <v>697226.763843838</v>
      </c>
      <c r="I813" s="29" t="n">
        <f aca="false">H813*Controls!$B$52</f>
        <v>990062.00465825</v>
      </c>
      <c r="J813" s="29" t="n">
        <f aca="false">'City Fiscal'!$B$5+(H813*Controls!$B$56*Controls!$B$55)+('City Fiscal'!$B$9*B813*F813)</f>
        <v>152926.11651628</v>
      </c>
      <c r="K813" s="29" t="n">
        <f aca="false">J813-('City Fiscal'!$B$13*E813)</f>
        <v>33763.0703254597</v>
      </c>
      <c r="L813" s="30" t="n">
        <f aca="false">'Mobility &amp; Emissions'!$B$21*B813*F813</f>
        <v>90.9991166361835</v>
      </c>
    </row>
    <row r="814" customFormat="false" ht="15" hidden="false" customHeight="true" outlineLevel="0" collapsed="false">
      <c r="A814" s="14" t="n">
        <v>810</v>
      </c>
      <c r="B814" s="47" t="n">
        <v>0.987319730723264</v>
      </c>
      <c r="C814" s="47" t="n">
        <v>1.02792394448066</v>
      </c>
      <c r="D814" s="47" t="n">
        <v>1.05837862854055</v>
      </c>
      <c r="E814" s="47" t="n">
        <v>1.07207094110292</v>
      </c>
      <c r="F814" s="47" t="n">
        <v>0.983744158750953</v>
      </c>
      <c r="G814" s="27" t="n">
        <f aca="false">'Visitor Economics'!$B$5*B814</f>
        <v>31791.6953292891</v>
      </c>
      <c r="H814" s="29" t="n">
        <f aca="false">MAX(0,'Visitor Economics'!$B$18*B814*C814*D814)</f>
        <v>777238.902792951</v>
      </c>
      <c r="I814" s="29" t="n">
        <f aca="false">H814*Controls!$B$52</f>
        <v>1103679.24196599</v>
      </c>
      <c r="J814" s="29" t="n">
        <f aca="false">'City Fiscal'!$B$5+(H814*Controls!$B$56*Controls!$B$55)+('City Fiscal'!$B$9*B814*F814)</f>
        <v>153048.19210302</v>
      </c>
      <c r="K814" s="29" t="n">
        <f aca="false">J814-('City Fiscal'!$B$13*E814)</f>
        <v>35120.3885816988</v>
      </c>
      <c r="L814" s="30" t="n">
        <f aca="false">'Mobility &amp; Emissions'!$B$21*B814*F814</f>
        <v>90.6502819313711</v>
      </c>
    </row>
    <row r="815" customFormat="false" ht="15" hidden="false" customHeight="true" outlineLevel="0" collapsed="false">
      <c r="A815" s="14" t="n">
        <v>811</v>
      </c>
      <c r="B815" s="47" t="n">
        <v>0.929203524297471</v>
      </c>
      <c r="C815" s="47" t="n">
        <v>0.987651424091774</v>
      </c>
      <c r="D815" s="47" t="n">
        <v>0.868938742963908</v>
      </c>
      <c r="E815" s="47" t="n">
        <v>1.10689601682692</v>
      </c>
      <c r="F815" s="47" t="n">
        <v>0.971768222455614</v>
      </c>
      <c r="G815" s="27" t="n">
        <f aca="false">'Visitor Economics'!$B$5*B815</f>
        <v>29920.3534823786</v>
      </c>
      <c r="H815" s="29" t="n">
        <f aca="false">MAX(0,'Visitor Economics'!$B$18*B815*C815*D815)</f>
        <v>577029.974281519</v>
      </c>
      <c r="I815" s="29" t="n">
        <f aca="false">H815*Controls!$B$52</f>
        <v>819382.563479757</v>
      </c>
      <c r="J815" s="29" t="n">
        <f aca="false">'City Fiscal'!$B$5+(H815*Controls!$B$56*Controls!$B$55)+('City Fiscal'!$B$9*B815*F815)</f>
        <v>144507.07220094</v>
      </c>
      <c r="K815" s="29" t="n">
        <f aca="false">J815-('City Fiscal'!$B$13*E815)</f>
        <v>22748.5103499789</v>
      </c>
      <c r="L815" s="30" t="n">
        <f aca="false">'Mobility &amp; Emissions'!$B$21*B815*F815</f>
        <v>84.2757678114843</v>
      </c>
    </row>
    <row r="816" customFormat="false" ht="15" hidden="false" customHeight="true" outlineLevel="0" collapsed="false">
      <c r="A816" s="14" t="n">
        <v>812</v>
      </c>
      <c r="B816" s="47" t="n">
        <v>0.948585715714572</v>
      </c>
      <c r="C816" s="47" t="n">
        <v>1.00204238049198</v>
      </c>
      <c r="D816" s="47" t="n">
        <v>0.857774674541267</v>
      </c>
      <c r="E816" s="47" t="n">
        <v>1.18483674348224</v>
      </c>
      <c r="F816" s="47" t="n">
        <v>1.0021910016271</v>
      </c>
      <c r="G816" s="27" t="n">
        <f aca="false">'Visitor Economics'!$B$5*B816</f>
        <v>30544.4600460092</v>
      </c>
      <c r="H816" s="29" t="n">
        <f aca="false">MAX(0,'Visitor Economics'!$B$18*B816*C816*D816)</f>
        <v>589970.85790918</v>
      </c>
      <c r="I816" s="29" t="n">
        <f aca="false">H816*Controls!$B$52</f>
        <v>837758.618231035</v>
      </c>
      <c r="J816" s="29" t="n">
        <f aca="false">'City Fiscal'!$B$5+(H816*Controls!$B$56*Controls!$B$55)+('City Fiscal'!$B$9*B816*F816)</f>
        <v>149649.253940761</v>
      </c>
      <c r="K816" s="29" t="n">
        <f aca="false">J816-('City Fiscal'!$B$13*E816)</f>
        <v>19317.2121577146</v>
      </c>
      <c r="L816" s="30" t="n">
        <f aca="false">'Mobility &amp; Emissions'!$B$21*B816*F816</f>
        <v>88.7270936477284</v>
      </c>
    </row>
    <row r="817" customFormat="false" ht="15" hidden="false" customHeight="true" outlineLevel="0" collapsed="false">
      <c r="A817" s="14" t="n">
        <v>813</v>
      </c>
      <c r="B817" s="47" t="n">
        <v>0.970887883368765</v>
      </c>
      <c r="C817" s="47" t="n">
        <v>0.922747262737262</v>
      </c>
      <c r="D817" s="47" t="n">
        <v>1.13350429192455</v>
      </c>
      <c r="E817" s="47" t="n">
        <v>1.19180850577619</v>
      </c>
      <c r="F817" s="47" t="n">
        <v>1.01244092178268</v>
      </c>
      <c r="G817" s="27" t="n">
        <f aca="false">'Visitor Economics'!$B$5*B817</f>
        <v>31262.5898444742</v>
      </c>
      <c r="H817" s="29" t="n">
        <f aca="false">MAX(0,'Visitor Economics'!$B$18*B817*C817*D817)</f>
        <v>734800.909477036</v>
      </c>
      <c r="I817" s="29" t="n">
        <f aca="false">H817*Controls!$B$52</f>
        <v>1043417.29145739</v>
      </c>
      <c r="J817" s="29" t="n">
        <f aca="false">'City Fiscal'!$B$5+(H817*Controls!$B$56*Controls!$B$55)+('City Fiscal'!$B$9*B817*F817)</f>
        <v>154013.721282611</v>
      </c>
      <c r="K817" s="29" t="n">
        <f aca="false">J817-('City Fiscal'!$B$13*E817)</f>
        <v>22914.7856472298</v>
      </c>
      <c r="L817" s="30" t="n">
        <f aca="false">'Mobility &amp; Emissions'!$B$21*B817*F817</f>
        <v>91.7419460224955</v>
      </c>
    </row>
    <row r="818" customFormat="false" ht="15" hidden="false" customHeight="true" outlineLevel="0" collapsed="false">
      <c r="A818" s="14" t="n">
        <v>814</v>
      </c>
      <c r="B818" s="47" t="n">
        <v>0.945461419385663</v>
      </c>
      <c r="C818" s="47" t="n">
        <v>0.965585026702611</v>
      </c>
      <c r="D818" s="47" t="n">
        <v>1.19526198761373</v>
      </c>
      <c r="E818" s="47" t="n">
        <v>1.09395913996648</v>
      </c>
      <c r="F818" s="47" t="n">
        <v>0.9759464171781</v>
      </c>
      <c r="G818" s="27" t="n">
        <f aca="false">'Visitor Economics'!$B$5*B818</f>
        <v>30443.8577042183</v>
      </c>
      <c r="H818" s="29" t="n">
        <f aca="false">MAX(0,'Visitor Economics'!$B$18*B818*C818*D818)</f>
        <v>789572.678062412</v>
      </c>
      <c r="I818" s="29" t="n">
        <f aca="false">H818*Controls!$B$52</f>
        <v>1121193.20284862</v>
      </c>
      <c r="J818" s="29" t="n">
        <f aca="false">'City Fiscal'!$B$5+(H818*Controls!$B$56*Controls!$B$55)+('City Fiscal'!$B$9*B818*F818)</f>
        <v>147978.927327261</v>
      </c>
      <c r="K818" s="29" t="n">
        <f aca="false">J818-('City Fiscal'!$B$13*E818)</f>
        <v>27643.4219309486</v>
      </c>
      <c r="L818" s="30" t="n">
        <f aca="false">'Mobility &amp; Emissions'!$B$21*B818*F818</f>
        <v>86.118996808607</v>
      </c>
    </row>
    <row r="819" customFormat="false" ht="15" hidden="false" customHeight="true" outlineLevel="0" collapsed="false">
      <c r="A819" s="14" t="n">
        <v>815</v>
      </c>
      <c r="B819" s="47" t="n">
        <v>0.980961557408114</v>
      </c>
      <c r="C819" s="47" t="n">
        <v>0.909548869339596</v>
      </c>
      <c r="D819" s="47" t="n">
        <v>0.95060803029166</v>
      </c>
      <c r="E819" s="47" t="n">
        <v>0.994519053401054</v>
      </c>
      <c r="F819" s="47" t="n">
        <v>0.999474078020237</v>
      </c>
      <c r="G819" s="27" t="n">
        <f aca="false">'Visitor Economics'!$B$5*B819</f>
        <v>31586.9621485413</v>
      </c>
      <c r="H819" s="29" t="n">
        <f aca="false">MAX(0,'Visitor Economics'!$B$18*B819*C819*D819)</f>
        <v>613725.509157078</v>
      </c>
      <c r="I819" s="29" t="n">
        <f aca="false">H819*Controls!$B$52</f>
        <v>871490.223003051</v>
      </c>
      <c r="J819" s="29" t="n">
        <f aca="false">'City Fiscal'!$B$5+(H819*Controls!$B$56*Controls!$B$55)+('City Fiscal'!$B$9*B819*F819)</f>
        <v>152961.781186527</v>
      </c>
      <c r="K819" s="29" t="n">
        <f aca="false">J819-('City Fiscal'!$B$13*E819)</f>
        <v>43564.6853124112</v>
      </c>
      <c r="L819" s="30" t="n">
        <f aca="false">'Mobility &amp; Emissions'!$B$21*B819*F819</f>
        <v>91.5066591007266</v>
      </c>
    </row>
    <row r="820" customFormat="false" ht="15" hidden="false" customHeight="true" outlineLevel="0" collapsed="false">
      <c r="A820" s="14" t="n">
        <v>816</v>
      </c>
      <c r="B820" s="47" t="n">
        <v>0.934935318727453</v>
      </c>
      <c r="C820" s="47" t="n">
        <v>1.04351470729611</v>
      </c>
      <c r="D820" s="47" t="n">
        <v>0.99462688554792</v>
      </c>
      <c r="E820" s="47" t="n">
        <v>1.12407839740537</v>
      </c>
      <c r="F820" s="47" t="n">
        <v>1.1203773735128</v>
      </c>
      <c r="G820" s="27" t="n">
        <f aca="false">'Visitor Economics'!$B$5*B820</f>
        <v>30104.917263024</v>
      </c>
      <c r="H820" s="29" t="n">
        <f aca="false">MAX(0,'Visitor Economics'!$B$18*B820*C820*D820)</f>
        <v>702158.252693086</v>
      </c>
      <c r="I820" s="29" t="n">
        <f aca="false">H820*Controls!$B$52</f>
        <v>997064.718824182</v>
      </c>
      <c r="J820" s="29" t="n">
        <f aca="false">'City Fiscal'!$B$5+(H820*Controls!$B$56*Controls!$B$55)+('City Fiscal'!$B$9*B820*F820)</f>
        <v>160644.444890411</v>
      </c>
      <c r="K820" s="29" t="n">
        <f aca="false">J820-('City Fiscal'!$B$13*E820)</f>
        <v>36995.8211758205</v>
      </c>
      <c r="L820" s="30" t="n">
        <f aca="false">'Mobility &amp; Emissions'!$B$21*B820*F820</f>
        <v>97.7631242834048</v>
      </c>
    </row>
    <row r="821" customFormat="false" ht="15" hidden="false" customHeight="true" outlineLevel="0" collapsed="false">
      <c r="A821" s="14" t="n">
        <v>817</v>
      </c>
      <c r="B821" s="47" t="n">
        <v>0.84283311228962</v>
      </c>
      <c r="C821" s="47" t="n">
        <v>0.978886752122384</v>
      </c>
      <c r="D821" s="47" t="n">
        <v>1.1760828166121</v>
      </c>
      <c r="E821" s="47" t="n">
        <v>1.03091382973816</v>
      </c>
      <c r="F821" s="47" t="n">
        <v>1.0088883420833</v>
      </c>
      <c r="G821" s="27" t="n">
        <f aca="false">'Visitor Economics'!$B$5*B821</f>
        <v>27139.2262157258</v>
      </c>
      <c r="H821" s="29" t="n">
        <f aca="false">MAX(0,'Visitor Economics'!$B$18*B821*C821*D821)</f>
        <v>702112.353747585</v>
      </c>
      <c r="I821" s="29" t="n">
        <f aca="false">H821*Controls!$B$52</f>
        <v>996999.54232157</v>
      </c>
      <c r="J821" s="29" t="n">
        <f aca="false">'City Fiscal'!$B$5+(H821*Controls!$B$56*Controls!$B$55)+('City Fiscal'!$B$9*B821*F821)</f>
        <v>139734.041755679</v>
      </c>
      <c r="K821" s="29" t="n">
        <f aca="false">J821-('City Fiscal'!$B$13*E821)</f>
        <v>26333.5204844817</v>
      </c>
      <c r="L821" s="30" t="n">
        <f aca="false">'Mobility &amp; Emissions'!$B$21*B821*F821</f>
        <v>79.3622312589876</v>
      </c>
    </row>
    <row r="822" customFormat="false" ht="15" hidden="false" customHeight="true" outlineLevel="0" collapsed="false">
      <c r="A822" s="14" t="n">
        <v>818</v>
      </c>
      <c r="B822" s="47" t="n">
        <v>0.940778790718647</v>
      </c>
      <c r="C822" s="47" t="n">
        <v>0.936073252732919</v>
      </c>
      <c r="D822" s="47" t="n">
        <v>1.17529223601258</v>
      </c>
      <c r="E822" s="47" t="n">
        <v>1.06848209454712</v>
      </c>
      <c r="F822" s="47" t="n">
        <v>0.998719534695345</v>
      </c>
      <c r="G822" s="27" t="n">
        <f aca="false">'Visitor Economics'!$B$5*B822</f>
        <v>30293.0770611404</v>
      </c>
      <c r="H822" s="29" t="n">
        <f aca="false">MAX(0,'Visitor Economics'!$B$18*B822*C822*D822)</f>
        <v>748924.245644691</v>
      </c>
      <c r="I822" s="29" t="n">
        <f aca="false">H822*Controls!$B$52</f>
        <v>1063472.42881546</v>
      </c>
      <c r="J822" s="29" t="n">
        <f aca="false">'City Fiscal'!$B$5+(H822*Controls!$B$56*Controls!$B$55)+('City Fiscal'!$B$9*B822*F822)</f>
        <v>149503.089641934</v>
      </c>
      <c r="K822" s="29" t="n">
        <f aca="false">J822-('City Fiscal'!$B$13*E822)</f>
        <v>31970.0592417506</v>
      </c>
      <c r="L822" s="30" t="n">
        <f aca="false">'Mobility &amp; Emissions'!$B$21*B822*F822</f>
        <v>87.6920532665375</v>
      </c>
    </row>
    <row r="823" customFormat="false" ht="15" hidden="false" customHeight="true" outlineLevel="0" collapsed="false">
      <c r="A823" s="14" t="n">
        <v>819</v>
      </c>
      <c r="B823" s="47" t="n">
        <v>0.956219125123592</v>
      </c>
      <c r="C823" s="47" t="n">
        <v>0.981582796113943</v>
      </c>
      <c r="D823" s="47" t="n">
        <v>1.11439487472813</v>
      </c>
      <c r="E823" s="47" t="n">
        <v>0.995624314945283</v>
      </c>
      <c r="F823" s="47" t="n">
        <v>0.978598211496117</v>
      </c>
      <c r="G823" s="27" t="n">
        <f aca="false">'Visitor Economics'!$B$5*B823</f>
        <v>30790.2558289797</v>
      </c>
      <c r="H823" s="29" t="n">
        <f aca="false">MAX(0,'Visitor Economics'!$B$18*B823*C823*D823)</f>
        <v>756864.506567022</v>
      </c>
      <c r="I823" s="29" t="n">
        <f aca="false">H823*Controls!$B$52</f>
        <v>1074747.59932517</v>
      </c>
      <c r="J823" s="29" t="n">
        <f aca="false">'City Fiscal'!$B$5+(H823*Controls!$B$56*Controls!$B$55)+('City Fiscal'!$B$9*B823*F823)</f>
        <v>149149.416087485</v>
      </c>
      <c r="K823" s="29" t="n">
        <f aca="false">J823-('City Fiscal'!$B$13*E823)</f>
        <v>39630.7414435036</v>
      </c>
      <c r="L823" s="30" t="n">
        <f aca="false">'Mobility &amp; Emissions'!$B$21*B823*F823</f>
        <v>87.3355419947388</v>
      </c>
    </row>
    <row r="824" customFormat="false" ht="15" hidden="false" customHeight="true" outlineLevel="0" collapsed="false">
      <c r="A824" s="14" t="n">
        <v>820</v>
      </c>
      <c r="B824" s="47" t="n">
        <v>0.799657059800489</v>
      </c>
      <c r="C824" s="47" t="n">
        <v>0.983410525976756</v>
      </c>
      <c r="D824" s="47" t="n">
        <v>0.847066385022603</v>
      </c>
      <c r="E824" s="47" t="n">
        <v>1.12070866231646</v>
      </c>
      <c r="F824" s="47" t="n">
        <v>1.03987507094213</v>
      </c>
      <c r="G824" s="27" t="n">
        <f aca="false">'Visitor Economics'!$B$5*B824</f>
        <v>25748.9573255757</v>
      </c>
      <c r="H824" s="29" t="n">
        <f aca="false">MAX(0,'Visitor Economics'!$B$18*B824*C824*D824)</f>
        <v>482004.114351259</v>
      </c>
      <c r="I824" s="29" t="n">
        <f aca="false">H824*Controls!$B$52</f>
        <v>684445.842378788</v>
      </c>
      <c r="J824" s="29" t="n">
        <f aca="false">'City Fiscal'!$B$5+(H824*Controls!$B$56*Controls!$B$55)+('City Fiscal'!$B$9*B824*F824)</f>
        <v>136315.844667879</v>
      </c>
      <c r="K824" s="29" t="n">
        <f aca="false">J824-('City Fiscal'!$B$13*E824)</f>
        <v>13037.891813068</v>
      </c>
      <c r="L824" s="30" t="n">
        <f aca="false">'Mobility &amp; Emissions'!$B$21*B824*F824</f>
        <v>77.6093630460565</v>
      </c>
    </row>
    <row r="825" customFormat="false" ht="15" hidden="false" customHeight="true" outlineLevel="0" collapsed="false">
      <c r="A825" s="14" t="n">
        <v>821</v>
      </c>
      <c r="B825" s="47" t="n">
        <v>0.917965213006758</v>
      </c>
      <c r="C825" s="47" t="n">
        <v>0.971581661159917</v>
      </c>
      <c r="D825" s="47" t="n">
        <v>0.997498275855235</v>
      </c>
      <c r="E825" s="47" t="n">
        <v>1.14401061373892</v>
      </c>
      <c r="F825" s="47" t="n">
        <v>1.05525032981588</v>
      </c>
      <c r="G825" s="27" t="n">
        <f aca="false">'Visitor Economics'!$B$5*B825</f>
        <v>29558.4798588176</v>
      </c>
      <c r="H825" s="29" t="n">
        <f aca="false">MAX(0,'Visitor Economics'!$B$18*B825*C825*D825)</f>
        <v>643742.756983371</v>
      </c>
      <c r="I825" s="29" t="n">
        <f aca="false">H825*Controls!$B$52</f>
        <v>914114.714916387</v>
      </c>
      <c r="J825" s="29" t="n">
        <f aca="false">'City Fiscal'!$B$5+(H825*Controls!$B$56*Controls!$B$55)+('City Fiscal'!$B$9*B825*F825)</f>
        <v>151908.77113821</v>
      </c>
      <c r="K825" s="29" t="n">
        <f aca="false">J825-('City Fiscal'!$B$13*E825)</f>
        <v>26067.6036269288</v>
      </c>
      <c r="L825" s="30" t="n">
        <f aca="false">'Mobility &amp; Emissions'!$B$21*B825*F825</f>
        <v>90.4088399042029</v>
      </c>
    </row>
    <row r="826" customFormat="false" ht="15" hidden="false" customHeight="true" outlineLevel="0" collapsed="false">
      <c r="A826" s="14" t="n">
        <v>822</v>
      </c>
      <c r="B826" s="47" t="n">
        <v>0.873016127633868</v>
      </c>
      <c r="C826" s="47" t="n">
        <v>0.94285357137666</v>
      </c>
      <c r="D826" s="47" t="n">
        <v>0.972801192942367</v>
      </c>
      <c r="E826" s="47" t="n">
        <v>1.11742454978391</v>
      </c>
      <c r="F826" s="47" t="n">
        <v>1.07048585031581</v>
      </c>
      <c r="G826" s="27" t="n">
        <f aca="false">'Visitor Economics'!$B$5*B826</f>
        <v>28111.1193098106</v>
      </c>
      <c r="H826" s="29" t="n">
        <f aca="false">MAX(0,'Visitor Economics'!$B$18*B826*C826*D826)</f>
        <v>579409.059198905</v>
      </c>
      <c r="I826" s="29" t="n">
        <f aca="false">H826*Controls!$B$52</f>
        <v>822760.864062445</v>
      </c>
      <c r="J826" s="29" t="n">
        <f aca="false">'City Fiscal'!$B$5+(H826*Controls!$B$56*Controls!$B$55)+('City Fiscal'!$B$9*B826*F826)</f>
        <v>147871.925242381</v>
      </c>
      <c r="K826" s="29" t="n">
        <f aca="false">J826-('City Fiscal'!$B$13*E826)</f>
        <v>24955.224766151</v>
      </c>
      <c r="L826" s="30" t="n">
        <f aca="false">'Mobility &amp; Emissions'!$B$21*B826*F826</f>
        <v>87.2232719941195</v>
      </c>
    </row>
    <row r="827" customFormat="false" ht="15" hidden="false" customHeight="true" outlineLevel="0" collapsed="false">
      <c r="A827" s="14" t="n">
        <v>823</v>
      </c>
      <c r="B827" s="47" t="n">
        <v>0.914886619054671</v>
      </c>
      <c r="C827" s="47" t="n">
        <v>1.02005001250625</v>
      </c>
      <c r="D827" s="47" t="n">
        <v>0.996783993874087</v>
      </c>
      <c r="E827" s="47" t="n">
        <v>0.933521363628174</v>
      </c>
      <c r="F827" s="47" t="n">
        <v>0.879622626487197</v>
      </c>
      <c r="G827" s="27" t="n">
        <f aca="false">'Visitor Economics'!$B$5*B827</f>
        <v>29459.3491335604</v>
      </c>
      <c r="H827" s="29" t="n">
        <f aca="false">MAX(0,'Visitor Economics'!$B$18*B827*C827*D827)</f>
        <v>673107.556944</v>
      </c>
      <c r="I827" s="29" t="n">
        <f aca="false">H827*Controls!$B$52</f>
        <v>955812.730860479</v>
      </c>
      <c r="J827" s="29" t="n">
        <f aca="false">'City Fiscal'!$B$5+(H827*Controls!$B$56*Controls!$B$55)+('City Fiscal'!$B$9*B827*F827)</f>
        <v>134713.043227362</v>
      </c>
      <c r="K827" s="29" t="n">
        <f aca="false">J827-('City Fiscal'!$B$13*E827)</f>
        <v>32025.6932282632</v>
      </c>
      <c r="L827" s="30" t="n">
        <f aca="false">'Mobility &amp; Emissions'!$B$21*B827*F827</f>
        <v>75.1091495073614</v>
      </c>
    </row>
    <row r="828" customFormat="false" ht="15" hidden="false" customHeight="true" outlineLevel="0" collapsed="false">
      <c r="A828" s="14" t="n">
        <v>824</v>
      </c>
      <c r="B828" s="47" t="n">
        <v>0.906929901914403</v>
      </c>
      <c r="C828" s="47" t="n">
        <v>0.987812395251364</v>
      </c>
      <c r="D828" s="47" t="n">
        <v>1.0642952612344</v>
      </c>
      <c r="E828" s="47" t="n">
        <v>0.974023050223011</v>
      </c>
      <c r="F828" s="47" t="n">
        <v>1.05838941109239</v>
      </c>
      <c r="G828" s="27" t="n">
        <f aca="false">'Visitor Economics'!$B$5*B828</f>
        <v>29203.1428416438</v>
      </c>
      <c r="H828" s="29" t="n">
        <f aca="false">MAX(0,'Visitor Economics'!$B$18*B828*C828*D828)</f>
        <v>689929.937861286</v>
      </c>
      <c r="I828" s="29" t="n">
        <f aca="false">H828*Controls!$B$52</f>
        <v>979700.511763027</v>
      </c>
      <c r="J828" s="29" t="n">
        <f aca="false">'City Fiscal'!$B$5+(H828*Controls!$B$56*Controls!$B$55)+('City Fiscal'!$B$9*B828*F828)</f>
        <v>151274.949749034</v>
      </c>
      <c r="K828" s="29" t="n">
        <f aca="false">J828-('City Fiscal'!$B$13*E828)</f>
        <v>44132.4142245033</v>
      </c>
      <c r="L828" s="30" t="n">
        <f aca="false">'Mobility &amp; Emissions'!$B$21*B828*F828</f>
        <v>89.5876993014902</v>
      </c>
    </row>
    <row r="829" customFormat="false" ht="15" hidden="false" customHeight="true" outlineLevel="0" collapsed="false">
      <c r="A829" s="14" t="n">
        <v>825</v>
      </c>
      <c r="B829" s="47" t="n">
        <v>0.990402702826103</v>
      </c>
      <c r="C829" s="47" t="n">
        <v>1.10592875272053</v>
      </c>
      <c r="D829" s="47" t="n">
        <v>0.912776880517656</v>
      </c>
      <c r="E829" s="47" t="n">
        <v>0.897948059629474</v>
      </c>
      <c r="F829" s="47" t="n">
        <v>1.00872898386435</v>
      </c>
      <c r="G829" s="27" t="n">
        <f aca="false">'Visitor Economics'!$B$5*B829</f>
        <v>31890.9670310005</v>
      </c>
      <c r="H829" s="29" t="n">
        <f aca="false">MAX(0,'Visitor Economics'!$B$18*B829*C829*D829)</f>
        <v>723432.919348244</v>
      </c>
      <c r="I829" s="29" t="n">
        <f aca="false">H829*Controls!$B$52</f>
        <v>1027274.74547451</v>
      </c>
      <c r="J829" s="29" t="n">
        <f aca="false">'City Fiscal'!$B$5+(H829*Controls!$B$56*Controls!$B$55)+('City Fiscal'!$B$9*B829*F829)</f>
        <v>155645.618058267</v>
      </c>
      <c r="K829" s="29" t="n">
        <f aca="false">J829-('City Fiscal'!$B$13*E829)</f>
        <v>56871.3314990245</v>
      </c>
      <c r="L829" s="30" t="n">
        <f aca="false">'Mobility &amp; Emissions'!$B$21*B829*F829</f>
        <v>93.2428400119832</v>
      </c>
    </row>
    <row r="830" customFormat="false" ht="15" hidden="false" customHeight="true" outlineLevel="0" collapsed="false">
      <c r="A830" s="14" t="n">
        <v>826</v>
      </c>
      <c r="B830" s="47" t="n">
        <v>0.894546060604457</v>
      </c>
      <c r="C830" s="47" t="n">
        <v>1.02205103369611</v>
      </c>
      <c r="D830" s="47" t="n">
        <v>0.992447875960199</v>
      </c>
      <c r="E830" s="47" t="n">
        <v>0.997596452667276</v>
      </c>
      <c r="F830" s="47" t="n">
        <v>1.06037578452226</v>
      </c>
      <c r="G830" s="27" t="n">
        <f aca="false">'Visitor Economics'!$B$5*B830</f>
        <v>28804.3831514635</v>
      </c>
      <c r="H830" s="29" t="n">
        <f aca="false">MAX(0,'Visitor Economics'!$B$18*B830*C830*D830)</f>
        <v>656564.905849285</v>
      </c>
      <c r="I830" s="29" t="n">
        <f aca="false">H830*Controls!$B$52</f>
        <v>932322.166305985</v>
      </c>
      <c r="J830" s="29" t="n">
        <f aca="false">'City Fiscal'!$B$5+(H830*Controls!$B$56*Controls!$B$55)+('City Fiscal'!$B$9*B830*F830)</f>
        <v>149857.096160329</v>
      </c>
      <c r="K830" s="29" t="n">
        <f aca="false">J830-('City Fiscal'!$B$13*E830)</f>
        <v>40121.4863669286</v>
      </c>
      <c r="L830" s="30" t="n">
        <f aca="false">'Mobility &amp; Emissions'!$B$21*B830*F830</f>
        <v>88.5302489019745</v>
      </c>
    </row>
    <row r="831" customFormat="false" ht="15" hidden="false" customHeight="true" outlineLevel="0" collapsed="false">
      <c r="A831" s="14" t="n">
        <v>827</v>
      </c>
      <c r="B831" s="47" t="n">
        <v>0.895131229473154</v>
      </c>
      <c r="C831" s="47" t="n">
        <v>1.04888038245322</v>
      </c>
      <c r="D831" s="47" t="n">
        <v>1.07337539808962</v>
      </c>
      <c r="E831" s="47" t="n">
        <v>1.07947507513563</v>
      </c>
      <c r="F831" s="47" t="n">
        <v>1.08012511180689</v>
      </c>
      <c r="G831" s="27" t="n">
        <f aca="false">'Visitor Economics'!$B$5*B831</f>
        <v>28823.2255890356</v>
      </c>
      <c r="H831" s="29" t="n">
        <f aca="false">MAX(0,'Visitor Economics'!$B$18*B831*C831*D831)</f>
        <v>729220.683478665</v>
      </c>
      <c r="I831" s="29" t="n">
        <f aca="false">H831*Controls!$B$52</f>
        <v>1035493.3705397</v>
      </c>
      <c r="J831" s="29" t="n">
        <f aca="false">'City Fiscal'!$B$5+(H831*Controls!$B$56*Controls!$B$55)+('City Fiscal'!$B$9*B831*F831)</f>
        <v>152268.646932504</v>
      </c>
      <c r="K831" s="29" t="n">
        <f aca="false">J831-('City Fiscal'!$B$13*E831)</f>
        <v>33526.3886675844</v>
      </c>
      <c r="L831" s="30" t="n">
        <f aca="false">'Mobility &amp; Emissions'!$B$21*B831*F831</f>
        <v>90.2381012751345</v>
      </c>
    </row>
    <row r="832" customFormat="false" ht="15" hidden="false" customHeight="true" outlineLevel="0" collapsed="false">
      <c r="A832" s="14" t="n">
        <v>828</v>
      </c>
      <c r="B832" s="47" t="n">
        <v>0.826912684851754</v>
      </c>
      <c r="C832" s="47" t="n">
        <v>0.912222556893636</v>
      </c>
      <c r="D832" s="47" t="n">
        <v>1.03800058962346</v>
      </c>
      <c r="E832" s="47" t="n">
        <v>1.09292915611101</v>
      </c>
      <c r="F832" s="47" t="n">
        <v>1.08653741259608</v>
      </c>
      <c r="G832" s="27" t="n">
        <f aca="false">'Visitor Economics'!$B$5*B832</f>
        <v>26626.5884522265</v>
      </c>
      <c r="H832" s="29" t="n">
        <f aca="false">MAX(0,'Visitor Economics'!$B$18*B832*C832*D832)</f>
        <v>566568.898992219</v>
      </c>
      <c r="I832" s="29" t="n">
        <f aca="false">H832*Controls!$B$52</f>
        <v>804527.836568951</v>
      </c>
      <c r="J832" s="29" t="n">
        <f aca="false">'City Fiscal'!$B$5+(H832*Controls!$B$56*Controls!$B$55)+('City Fiscal'!$B$9*B832*F832)</f>
        <v>143962.137988571</v>
      </c>
      <c r="K832" s="29" t="n">
        <f aca="false">J832-('City Fiscal'!$B$13*E832)</f>
        <v>23739.9308163602</v>
      </c>
      <c r="L832" s="30" t="n">
        <f aca="false">'Mobility &amp; Emissions'!$B$21*B832*F832</f>
        <v>83.8558789403295</v>
      </c>
    </row>
    <row r="833" customFormat="false" ht="15" hidden="false" customHeight="true" outlineLevel="0" collapsed="false">
      <c r="A833" s="14" t="n">
        <v>829</v>
      </c>
      <c r="B833" s="47" t="n">
        <v>0.923314944277826</v>
      </c>
      <c r="C833" s="47" t="n">
        <v>1.08632508351904</v>
      </c>
      <c r="D833" s="47" t="n">
        <v>0.997260442786992</v>
      </c>
      <c r="E833" s="47" t="n">
        <v>0.926848022911049</v>
      </c>
      <c r="F833" s="47" t="n">
        <v>1.0058906665063</v>
      </c>
      <c r="G833" s="27" t="n">
        <f aca="false">'Visitor Economics'!$B$5*B833</f>
        <v>29730.741205746</v>
      </c>
      <c r="H833" s="29" t="n">
        <f aca="false">MAX(0,'Visitor Economics'!$B$18*B833*C833*D833)</f>
        <v>723790.593705034</v>
      </c>
      <c r="I833" s="29" t="n">
        <f aca="false">H833*Controls!$B$52</f>
        <v>1027782.64306115</v>
      </c>
      <c r="J833" s="29" t="n">
        <f aca="false">'City Fiscal'!$B$5+(H833*Controls!$B$56*Controls!$B$55)+('City Fiscal'!$B$9*B833*F833)</f>
        <v>148192.639115589</v>
      </c>
      <c r="K833" s="29" t="n">
        <f aca="false">J833-('City Fiscal'!$B$13*E833)</f>
        <v>46239.3565953731</v>
      </c>
      <c r="L833" s="30" t="n">
        <f aca="false">'Mobility &amp; Emissions'!$B$21*B833*F833</f>
        <v>86.6821789401743</v>
      </c>
    </row>
    <row r="834" customFormat="false" ht="15" hidden="false" customHeight="true" outlineLevel="0" collapsed="false">
      <c r="A834" s="14" t="n">
        <v>830</v>
      </c>
      <c r="B834" s="47" t="n">
        <v>0.987689011157193</v>
      </c>
      <c r="C834" s="47" t="n">
        <v>0.900665977958493</v>
      </c>
      <c r="D834" s="47" t="n">
        <v>0.9600441612494</v>
      </c>
      <c r="E834" s="47" t="n">
        <v>1.04302475993491</v>
      </c>
      <c r="F834" s="47" t="n">
        <v>1.05912921261483</v>
      </c>
      <c r="G834" s="27" t="n">
        <f aca="false">'Visitor Economics'!$B$5*B834</f>
        <v>31803.5861592616</v>
      </c>
      <c r="H834" s="29" t="n">
        <f aca="false">MAX(0,'Visitor Economics'!$B$18*B834*C834*D834)</f>
        <v>617973.511413301</v>
      </c>
      <c r="I834" s="29" t="n">
        <f aca="false">H834*Controls!$B$52</f>
        <v>877522.386206887</v>
      </c>
      <c r="J834" s="29" t="n">
        <f aca="false">'City Fiscal'!$B$5+(H834*Controls!$B$56*Controls!$B$55)+('City Fiscal'!$B$9*B834*F834)</f>
        <v>159951.496335879</v>
      </c>
      <c r="K834" s="29" t="n">
        <f aca="false">J834-('City Fiscal'!$B$13*E834)</f>
        <v>45218.7727430392</v>
      </c>
      <c r="L834" s="30" t="n">
        <f aca="false">'Mobility &amp; Emissions'!$B$21*B834*F834</f>
        <v>97.6333846240905</v>
      </c>
    </row>
    <row r="835" customFormat="false" ht="15" hidden="false" customHeight="true" outlineLevel="0" collapsed="false">
      <c r="A835" s="14" t="n">
        <v>831</v>
      </c>
      <c r="B835" s="47" t="n">
        <v>0.934653646826593</v>
      </c>
      <c r="C835" s="47" t="n">
        <v>0.97973415414369</v>
      </c>
      <c r="D835" s="47" t="n">
        <v>0.956857287098949</v>
      </c>
      <c r="E835" s="47" t="n">
        <v>0.948247806998794</v>
      </c>
      <c r="F835" s="47" t="n">
        <v>1.02603427893163</v>
      </c>
      <c r="G835" s="27" t="n">
        <f aca="false">'Visitor Economics'!$B$5*B835</f>
        <v>30095.8474278163</v>
      </c>
      <c r="H835" s="29" t="n">
        <f aca="false">MAX(0,'Visitor Economics'!$B$18*B835*C835*D835)</f>
        <v>634016.836944574</v>
      </c>
      <c r="I835" s="29" t="n">
        <f aca="false">H835*Controls!$B$52</f>
        <v>900303.908461295</v>
      </c>
      <c r="J835" s="29" t="n">
        <f aca="false">'City Fiscal'!$B$5+(H835*Controls!$B$56*Controls!$B$55)+('City Fiscal'!$B$9*B835*F835)</f>
        <v>150817.357711574</v>
      </c>
      <c r="K835" s="29" t="n">
        <f aca="false">J835-('City Fiscal'!$B$13*E835)</f>
        <v>46510.0989417066</v>
      </c>
      <c r="L835" s="30" t="n">
        <f aca="false">'Mobility &amp; Emissions'!$B$21*B835*F835</f>
        <v>89.5038571751923</v>
      </c>
    </row>
    <row r="836" customFormat="false" ht="15" hidden="false" customHeight="true" outlineLevel="0" collapsed="false">
      <c r="A836" s="14" t="n">
        <v>832</v>
      </c>
      <c r="B836" s="47" t="n">
        <v>0.952739313116799</v>
      </c>
      <c r="C836" s="47" t="n">
        <v>0.899315824398414</v>
      </c>
      <c r="D836" s="47" t="n">
        <v>1.05503525959805</v>
      </c>
      <c r="E836" s="47" t="n">
        <v>1.15697446587092</v>
      </c>
      <c r="F836" s="47" t="n">
        <v>0.945929661731917</v>
      </c>
      <c r="G836" s="27" t="n">
        <f aca="false">'Visitor Economics'!$B$5*B836</f>
        <v>30678.2058823609</v>
      </c>
      <c r="H836" s="29" t="n">
        <f aca="false">MAX(0,'Visitor Economics'!$B$18*B836*C836*D836)</f>
        <v>654105.747225228</v>
      </c>
      <c r="I836" s="29" t="n">
        <f aca="false">H836*Controls!$B$52</f>
        <v>928830.161059823</v>
      </c>
      <c r="J836" s="29" t="n">
        <f aca="false">'City Fiscal'!$B$5+(H836*Controls!$B$56*Controls!$B$55)+('City Fiscal'!$B$9*B836*F836)</f>
        <v>144821.336048699</v>
      </c>
      <c r="K836" s="29" t="n">
        <f aca="false">J836-('City Fiscal'!$B$13*E836)</f>
        <v>17554.1448028975</v>
      </c>
      <c r="L836" s="30" t="n">
        <f aca="false">'Mobility &amp; Emissions'!$B$21*B836*F836</f>
        <v>84.1128031098777</v>
      </c>
    </row>
    <row r="837" customFormat="false" ht="15" hidden="false" customHeight="true" outlineLevel="0" collapsed="false">
      <c r="A837" s="14" t="n">
        <v>833</v>
      </c>
      <c r="B837" s="47" t="n">
        <v>0.988440532323881</v>
      </c>
      <c r="C837" s="47" t="n">
        <v>1.08686391694844</v>
      </c>
      <c r="D837" s="47" t="n">
        <v>0.966254395921278</v>
      </c>
      <c r="E837" s="47" t="n">
        <v>0.977992088409515</v>
      </c>
      <c r="F837" s="47" t="n">
        <v>0.989023379328802</v>
      </c>
      <c r="G837" s="27" t="n">
        <f aca="false">'Visitor Economics'!$B$5*B837</f>
        <v>31827.785140829</v>
      </c>
      <c r="H837" s="29" t="n">
        <f aca="false">MAX(0,'Visitor Economics'!$B$18*B837*C837*D837)</f>
        <v>751124.398026537</v>
      </c>
      <c r="I837" s="29" t="n">
        <f aca="false">H837*Controls!$B$52</f>
        <v>1066596.64519768</v>
      </c>
      <c r="J837" s="29" t="n">
        <f aca="false">'City Fiscal'!$B$5+(H837*Controls!$B$56*Controls!$B$55)+('City Fiscal'!$B$9*B837*F837)</f>
        <v>153549.34388617</v>
      </c>
      <c r="K837" s="29" t="n">
        <f aca="false">J837-('City Fiscal'!$B$13*E837)</f>
        <v>45970.2141611232</v>
      </c>
      <c r="L837" s="30" t="n">
        <f aca="false">'Mobility &amp; Emissions'!$B$21*B837*F837</f>
        <v>91.2402108525229</v>
      </c>
    </row>
    <row r="838" customFormat="false" ht="15" hidden="false" customHeight="true" outlineLevel="0" collapsed="false">
      <c r="A838" s="14" t="n">
        <v>834</v>
      </c>
      <c r="B838" s="47" t="n">
        <v>0.927371710584725</v>
      </c>
      <c r="C838" s="47" t="n">
        <v>0.891812255221515</v>
      </c>
      <c r="D838" s="47" t="n">
        <v>1.22700543542487</v>
      </c>
      <c r="E838" s="47" t="n">
        <v>1.14657732356973</v>
      </c>
      <c r="F838" s="47" t="n">
        <v>0.929514149684191</v>
      </c>
      <c r="G838" s="27" t="n">
        <f aca="false">'Visitor Economics'!$B$5*B838</f>
        <v>29861.3690808281</v>
      </c>
      <c r="H838" s="29" t="n">
        <f aca="false">MAX(0,'Visitor Economics'!$B$18*B838*C838*D838)</f>
        <v>734291.390007825</v>
      </c>
      <c r="I838" s="29" t="n">
        <f aca="false">H838*Controls!$B$52</f>
        <v>1042693.77381111</v>
      </c>
      <c r="J838" s="29" t="n">
        <f aca="false">'City Fiscal'!$B$5+(H838*Controls!$B$56*Controls!$B$55)+('City Fiscal'!$B$9*B838*F838)</f>
        <v>141181.394471028</v>
      </c>
      <c r="K838" s="29" t="n">
        <f aca="false">J838-('City Fiscal'!$B$13*E838)</f>
        <v>15057.8888783574</v>
      </c>
      <c r="L838" s="30" t="n">
        <f aca="false">'Mobility &amp; Emissions'!$B$21*B838*F838</f>
        <v>80.4524039121238</v>
      </c>
    </row>
    <row r="839" customFormat="false" ht="15" hidden="false" customHeight="true" outlineLevel="0" collapsed="false">
      <c r="A839" s="14" t="n">
        <v>835</v>
      </c>
      <c r="B839" s="47" t="n">
        <v>0.85251482607026</v>
      </c>
      <c r="C839" s="47" t="n">
        <v>0.970149925074906</v>
      </c>
      <c r="D839" s="47" t="n">
        <v>0.884444722221853</v>
      </c>
      <c r="E839" s="47" t="n">
        <v>0.87092052631307</v>
      </c>
      <c r="F839" s="47" t="n">
        <v>0.98290033860002</v>
      </c>
      <c r="G839" s="27" t="n">
        <f aca="false">'Visitor Economics'!$B$5*B839</f>
        <v>27450.9773994624</v>
      </c>
      <c r="H839" s="29" t="n">
        <f aca="false">MAX(0,'Visitor Economics'!$B$18*B839*C839*D839)</f>
        <v>529305.198375549</v>
      </c>
      <c r="I839" s="29" t="n">
        <f aca="false">H839*Controls!$B$52</f>
        <v>751613.38169328</v>
      </c>
      <c r="J839" s="29" t="n">
        <f aca="false">'City Fiscal'!$B$5+(H839*Controls!$B$56*Controls!$B$55)+('City Fiscal'!$B$9*B839*F839)</f>
        <v>137300.460278592</v>
      </c>
      <c r="K839" s="29" t="n">
        <f aca="false">J839-('City Fiscal'!$B$13*E839)</f>
        <v>41499.2023841548</v>
      </c>
      <c r="L839" s="30" t="n">
        <f aca="false">'Mobility &amp; Emissions'!$B$21*B839*F839</f>
        <v>78.2060950819446</v>
      </c>
    </row>
    <row r="840" customFormat="false" ht="15" hidden="false" customHeight="true" outlineLevel="0" collapsed="false">
      <c r="A840" s="14" t="n">
        <v>836</v>
      </c>
      <c r="B840" s="47" t="n">
        <v>0.841481704595758</v>
      </c>
      <c r="C840" s="47" t="n">
        <v>0.994748390550528</v>
      </c>
      <c r="D840" s="47" t="n">
        <v>0.964301112313518</v>
      </c>
      <c r="E840" s="47" t="n">
        <v>1.06265339608095</v>
      </c>
      <c r="F840" s="47" t="n">
        <v>1.11818019484661</v>
      </c>
      <c r="G840" s="27" t="n">
        <f aca="false">'Visitor Economics'!$B$5*B840</f>
        <v>27095.7108879834</v>
      </c>
      <c r="H840" s="29" t="n">
        <f aca="false">MAX(0,'Visitor Economics'!$B$18*B840*C840*D840)</f>
        <v>584070.485000304</v>
      </c>
      <c r="I840" s="29" t="n">
        <f aca="false">H840*Controls!$B$52</f>
        <v>829380.088700431</v>
      </c>
      <c r="J840" s="29" t="n">
        <f aca="false">'City Fiscal'!$B$5+(H840*Controls!$B$56*Controls!$B$55)+('City Fiscal'!$B$9*B840*F840)</f>
        <v>148578.442972068</v>
      </c>
      <c r="K840" s="29" t="n">
        <f aca="false">J840-('City Fiscal'!$B$13*E840)</f>
        <v>31686.5694031639</v>
      </c>
      <c r="L840" s="30" t="n">
        <f aca="false">'Mobility &amp; Emissions'!$B$21*B840*F840</f>
        <v>87.8184262817545</v>
      </c>
    </row>
    <row r="841" customFormat="false" ht="15" hidden="false" customHeight="true" outlineLevel="0" collapsed="false">
      <c r="A841" s="14" t="n">
        <v>837</v>
      </c>
      <c r="B841" s="47" t="n">
        <v>0.820368304398377</v>
      </c>
      <c r="C841" s="47" t="n">
        <v>0.847982137159266</v>
      </c>
      <c r="D841" s="47" t="n">
        <v>1.13502717712433</v>
      </c>
      <c r="E841" s="47" t="n">
        <v>1.03688324796019</v>
      </c>
      <c r="F841" s="47" t="n">
        <v>0.913462587403919</v>
      </c>
      <c r="G841" s="27" t="n">
        <f aca="false">'Visitor Economics'!$B$5*B841</f>
        <v>26415.8594016277</v>
      </c>
      <c r="H841" s="29" t="n">
        <f aca="false">MAX(0,'Visitor Economics'!$B$18*B841*C841*D841)</f>
        <v>571342.468146198</v>
      </c>
      <c r="I841" s="29" t="n">
        <f aca="false">H841*Controls!$B$52</f>
        <v>811306.304767601</v>
      </c>
      <c r="J841" s="29" t="n">
        <f aca="false">'City Fiscal'!$B$5+(H841*Controls!$B$56*Controls!$B$55)+('City Fiscal'!$B$9*B841*F841)</f>
        <v>128180.154938883</v>
      </c>
      <c r="K841" s="29" t="n">
        <f aca="false">J841-('City Fiscal'!$B$13*E841)</f>
        <v>14122.9976632618</v>
      </c>
      <c r="L841" s="30" t="n">
        <f aca="false">'Mobility &amp; Emissions'!$B$21*B841*F841</f>
        <v>69.9405130558599</v>
      </c>
    </row>
    <row r="842" customFormat="false" ht="15" hidden="false" customHeight="true" outlineLevel="0" collapsed="false">
      <c r="A842" s="14" t="n">
        <v>838</v>
      </c>
      <c r="B842" s="47" t="n">
        <v>0.946270765635333</v>
      </c>
      <c r="C842" s="47" t="n">
        <v>0.994593814323418</v>
      </c>
      <c r="D842" s="47" t="n">
        <v>1.02223641643142</v>
      </c>
      <c r="E842" s="47" t="n">
        <v>1.03165108198116</v>
      </c>
      <c r="F842" s="47" t="n">
        <v>0.903033008588991</v>
      </c>
      <c r="G842" s="27" t="n">
        <f aca="false">'Visitor Economics'!$B$5*B842</f>
        <v>30469.9186534577</v>
      </c>
      <c r="H842" s="29" t="n">
        <f aca="false">MAX(0,'Visitor Economics'!$B$18*B842*C842*D842)</f>
        <v>696157.000716067</v>
      </c>
      <c r="I842" s="29" t="n">
        <f aca="false">H842*Controls!$B$52</f>
        <v>988542.941016815</v>
      </c>
      <c r="J842" s="29" t="n">
        <f aca="false">'City Fiscal'!$B$5+(H842*Controls!$B$56*Controls!$B$55)+('City Fiscal'!$B$9*B842*F842)</f>
        <v>140139.756108393</v>
      </c>
      <c r="K842" s="29" t="n">
        <f aca="false">J842-('City Fiscal'!$B$13*E842)</f>
        <v>26658.137090465</v>
      </c>
      <c r="L842" s="30" t="n">
        <f aca="false">'Mobility &amp; Emissions'!$B$21*B842*F842</f>
        <v>79.7532196945022</v>
      </c>
    </row>
    <row r="843" customFormat="false" ht="15" hidden="false" customHeight="true" outlineLevel="0" collapsed="false">
      <c r="A843" s="14" t="n">
        <v>839</v>
      </c>
      <c r="B843" s="47" t="n">
        <v>0.836049977698479</v>
      </c>
      <c r="C843" s="47" t="n">
        <v>0.951144957966366</v>
      </c>
      <c r="D843" s="47" t="n">
        <v>0.918120599477413</v>
      </c>
      <c r="E843" s="47" t="n">
        <v>0.969172718685422</v>
      </c>
      <c r="F843" s="47" t="n">
        <v>0.998568166172973</v>
      </c>
      <c r="G843" s="27" t="n">
        <f aca="false">'Visitor Economics'!$B$5*B843</f>
        <v>26920.809281891</v>
      </c>
      <c r="H843" s="29" t="n">
        <f aca="false">MAX(0,'Visitor Economics'!$B$18*B843*C843*D843)</f>
        <v>528291.168768652</v>
      </c>
      <c r="I843" s="29" t="n">
        <f aca="false">H843*Controls!$B$52</f>
        <v>750173.459651486</v>
      </c>
      <c r="J843" s="29" t="n">
        <f aca="false">'City Fiscal'!$B$5+(H843*Controls!$B$56*Controls!$B$55)+('City Fiscal'!$B$9*B843*F843)</f>
        <v>136966.781045377</v>
      </c>
      <c r="K843" s="29" t="n">
        <f aca="false">J843-('City Fiscal'!$B$13*E843)</f>
        <v>30357.7819899801</v>
      </c>
      <c r="L843" s="30" t="n">
        <f aca="false">'Mobility &amp; Emissions'!$B$21*B843*F843</f>
        <v>77.918239759145</v>
      </c>
    </row>
    <row r="844" customFormat="false" ht="15" hidden="false" customHeight="true" outlineLevel="0" collapsed="false">
      <c r="A844" s="14" t="n">
        <v>840</v>
      </c>
      <c r="B844" s="47" t="n">
        <v>0.910325745729691</v>
      </c>
      <c r="C844" s="47" t="n">
        <v>0.913674969975976</v>
      </c>
      <c r="D844" s="47" t="n">
        <v>1.03772364710124</v>
      </c>
      <c r="E844" s="47" t="n">
        <v>1.1347773893717</v>
      </c>
      <c r="F844" s="47" t="n">
        <v>1.08689294809611</v>
      </c>
      <c r="G844" s="27" t="n">
        <f aca="false">'Visitor Economics'!$B$5*B844</f>
        <v>29312.4890124961</v>
      </c>
      <c r="H844" s="29" t="n">
        <f aca="false">MAX(0,'Visitor Economics'!$B$18*B844*C844*D844)</f>
        <v>624546.726064688</v>
      </c>
      <c r="I844" s="29" t="n">
        <f aca="false">H844*Controls!$B$52</f>
        <v>886856.351011856</v>
      </c>
      <c r="J844" s="29" t="n">
        <f aca="false">'City Fiscal'!$B$5+(H844*Controls!$B$56*Controls!$B$55)+('City Fiscal'!$B$9*B844*F844)</f>
        <v>153984.414751035</v>
      </c>
      <c r="K844" s="29" t="n">
        <f aca="false">J844-('City Fiscal'!$B$13*E844)</f>
        <v>29158.9019201475</v>
      </c>
      <c r="L844" s="30" t="n">
        <f aca="false">'Mobility &amp; Emissions'!$B$21*B844*F844</f>
        <v>92.3448697301991</v>
      </c>
    </row>
    <row r="845" customFormat="false" ht="15" hidden="false" customHeight="true" outlineLevel="0" collapsed="false">
      <c r="A845" s="14" t="n">
        <v>841</v>
      </c>
      <c r="B845" s="47" t="n">
        <v>0.912372202520016</v>
      </c>
      <c r="C845" s="47" t="n">
        <v>1.02077298754875</v>
      </c>
      <c r="D845" s="47" t="n">
        <v>0.993419071312758</v>
      </c>
      <c r="E845" s="47" t="n">
        <v>1.17416300375147</v>
      </c>
      <c r="F845" s="47" t="n">
        <v>0.987722547173656</v>
      </c>
      <c r="G845" s="27" t="n">
        <f aca="false">'Visitor Economics'!$B$5*B845</f>
        <v>29378.3849211445</v>
      </c>
      <c r="H845" s="29" t="n">
        <f aca="false">MAX(0,'Visitor Economics'!$B$18*B845*C845*D845)</f>
        <v>669465.770602296</v>
      </c>
      <c r="I845" s="29" t="n">
        <f aca="false">H845*Controls!$B$52</f>
        <v>950641.39425526</v>
      </c>
      <c r="J845" s="29" t="n">
        <f aca="false">'City Fiscal'!$B$5+(H845*Controls!$B$56*Controls!$B$55)+('City Fiscal'!$B$9*B845*F845)</f>
        <v>144915.165125421</v>
      </c>
      <c r="K845" s="29" t="n">
        <f aca="false">J845-('City Fiscal'!$B$13*E845)</f>
        <v>15757.234712759</v>
      </c>
      <c r="L845" s="30" t="n">
        <f aca="false">'Mobility &amp; Emissions'!$B$21*B845*F845</f>
        <v>84.1077837000877</v>
      </c>
    </row>
    <row r="846" customFormat="false" ht="15" hidden="false" customHeight="true" outlineLevel="0" collapsed="false">
      <c r="A846" s="14" t="n">
        <v>842</v>
      </c>
      <c r="B846" s="47" t="n">
        <v>0.848952157326657</v>
      </c>
      <c r="C846" s="47" t="n">
        <v>0.935139046374373</v>
      </c>
      <c r="D846" s="47" t="n">
        <v>0.871234313720223</v>
      </c>
      <c r="E846" s="47" t="n">
        <v>0.880634148794223</v>
      </c>
      <c r="F846" s="47" t="n">
        <v>1.00158335672843</v>
      </c>
      <c r="G846" s="27" t="n">
        <f aca="false">'Visitor Economics'!$B$5*B846</f>
        <v>27336.2594659184</v>
      </c>
      <c r="H846" s="29" t="n">
        <f aca="false">MAX(0,'Visitor Economics'!$B$18*B846*C846*D846)</f>
        <v>500482.675678996</v>
      </c>
      <c r="I846" s="29" t="n">
        <f aca="false">H846*Controls!$B$52</f>
        <v>710685.399464175</v>
      </c>
      <c r="J846" s="29" t="n">
        <f aca="false">'City Fiscal'!$B$5+(H846*Controls!$B$56*Controls!$B$55)+('City Fiscal'!$B$9*B846*F846)</f>
        <v>138424.495901377</v>
      </c>
      <c r="K846" s="29" t="n">
        <f aca="false">J846-('City Fiscal'!$B$13*E846)</f>
        <v>41554.7395340123</v>
      </c>
      <c r="L846" s="30" t="n">
        <f aca="false">'Mobility &amp; Emissions'!$B$21*B846*F846</f>
        <v>79.3596039834197</v>
      </c>
    </row>
    <row r="847" customFormat="false" ht="15" hidden="false" customHeight="true" outlineLevel="0" collapsed="false">
      <c r="A847" s="14" t="n">
        <v>843</v>
      </c>
      <c r="B847" s="47" t="n">
        <v>0.966670833496107</v>
      </c>
      <c r="C847" s="47" t="n">
        <v>1.03916683848816</v>
      </c>
      <c r="D847" s="47" t="n">
        <v>0.991960609548095</v>
      </c>
      <c r="E847" s="47" t="n">
        <v>0.966555450256891</v>
      </c>
      <c r="F847" s="47" t="n">
        <v>0.96667261889578</v>
      </c>
      <c r="G847" s="27" t="n">
        <f aca="false">'Visitor Economics'!$B$5*B847</f>
        <v>31126.8008385746</v>
      </c>
      <c r="H847" s="29" t="n">
        <f aca="false">MAX(0,'Visitor Economics'!$B$18*B847*C847*D847)</f>
        <v>721029.428813536</v>
      </c>
      <c r="I847" s="29" t="n">
        <f aca="false">H847*Controls!$B$52</f>
        <v>1023861.78891522</v>
      </c>
      <c r="J847" s="29" t="n">
        <f aca="false">'City Fiscal'!$B$5+(H847*Controls!$B$56*Controls!$B$55)+('City Fiscal'!$B$9*B847*F847)</f>
        <v>148779.317864442</v>
      </c>
      <c r="K847" s="29" t="n">
        <f aca="false">J847-('City Fiscal'!$B$13*E847)</f>
        <v>42458.2183361844</v>
      </c>
      <c r="L847" s="30" t="n">
        <f aca="false">'Mobility &amp; Emissions'!$B$21*B847*F847</f>
        <v>87.214201505843</v>
      </c>
    </row>
    <row r="848" customFormat="false" ht="15" hidden="false" customHeight="true" outlineLevel="0" collapsed="false">
      <c r="A848" s="14" t="n">
        <v>844</v>
      </c>
      <c r="B848" s="47" t="n">
        <v>0.977715250976268</v>
      </c>
      <c r="C848" s="47" t="n">
        <v>1.00357835252841</v>
      </c>
      <c r="D848" s="47" t="n">
        <v>1.21167572570811</v>
      </c>
      <c r="E848" s="47" t="n">
        <v>1.01505053734899</v>
      </c>
      <c r="F848" s="47" t="n">
        <v>1.02676242456134</v>
      </c>
      <c r="G848" s="27" t="n">
        <f aca="false">'Visitor Economics'!$B$5*B848</f>
        <v>31482.4310814358</v>
      </c>
      <c r="H848" s="29" t="n">
        <f aca="false">MAX(0,'Visitor Economics'!$B$18*B848*C848*D848)</f>
        <v>860289.756046851</v>
      </c>
      <c r="I848" s="29" t="n">
        <f aca="false">H848*Controls!$B$52</f>
        <v>1221611.45358653</v>
      </c>
      <c r="J848" s="29" t="n">
        <f aca="false">'City Fiscal'!$B$5+(H848*Controls!$B$56*Controls!$B$55)+('City Fiscal'!$B$9*B848*F848)</f>
        <v>157045.071496516</v>
      </c>
      <c r="K848" s="29" t="n">
        <f aca="false">J848-('City Fiscal'!$B$13*E848)</f>
        <v>45389.5123881272</v>
      </c>
      <c r="L848" s="30" t="n">
        <f aca="false">'Mobility &amp; Emissions'!$B$21*B848*F848</f>
        <v>93.6939466120526</v>
      </c>
    </row>
    <row r="849" customFormat="false" ht="15" hidden="false" customHeight="true" outlineLevel="0" collapsed="false">
      <c r="A849" s="14" t="n">
        <v>845</v>
      </c>
      <c r="B849" s="47" t="n">
        <v>0.897156305848213</v>
      </c>
      <c r="C849" s="47" t="n">
        <v>1.00703097769742</v>
      </c>
      <c r="D849" s="47" t="n">
        <v>0.873473525663687</v>
      </c>
      <c r="E849" s="47" t="n">
        <v>1.03764122339776</v>
      </c>
      <c r="F849" s="47" t="n">
        <v>0.956383739358983</v>
      </c>
      <c r="G849" s="27" t="n">
        <f aca="false">'Visitor Economics'!$B$5*B849</f>
        <v>28888.4330483125</v>
      </c>
      <c r="H849" s="29" t="n">
        <f aca="false">MAX(0,'Visitor Economics'!$B$18*B849*C849*D849)</f>
        <v>571025.31259479</v>
      </c>
      <c r="I849" s="29" t="n">
        <f aca="false">H849*Controls!$B$52</f>
        <v>810855.943884601</v>
      </c>
      <c r="J849" s="29" t="n">
        <f aca="false">'City Fiscal'!$B$5+(H849*Controls!$B$56*Controls!$B$55)+('City Fiscal'!$B$9*B849*F849)</f>
        <v>139701.377508761</v>
      </c>
      <c r="K849" s="29" t="n">
        <f aca="false">J849-('City Fiscal'!$B$13*E849)</f>
        <v>25560.8429350072</v>
      </c>
      <c r="L849" s="30" t="n">
        <f aca="false">'Mobility &amp; Emissions'!$B$21*B849*F849</f>
        <v>80.080997465169</v>
      </c>
    </row>
    <row r="850" customFormat="false" ht="15" hidden="false" customHeight="true" outlineLevel="0" collapsed="false">
      <c r="A850" s="14" t="n">
        <v>846</v>
      </c>
      <c r="B850" s="47" t="n">
        <v>0.921714700997555</v>
      </c>
      <c r="C850" s="47" t="n">
        <v>0.85991240408695</v>
      </c>
      <c r="D850" s="47" t="n">
        <v>1.10477173140191</v>
      </c>
      <c r="E850" s="47" t="n">
        <v>1.07297952095873</v>
      </c>
      <c r="F850" s="47" t="n">
        <v>1.02122694381199</v>
      </c>
      <c r="G850" s="27" t="n">
        <f aca="false">'Visitor Economics'!$B$5*B850</f>
        <v>29679.2133721213</v>
      </c>
      <c r="H850" s="29" t="n">
        <f aca="false">MAX(0,'Visitor Economics'!$B$18*B850*C850*D850)</f>
        <v>633604.058841584</v>
      </c>
      <c r="I850" s="29" t="n">
        <f aca="false">H850*Controls!$B$52</f>
        <v>899717.763555049</v>
      </c>
      <c r="J850" s="29" t="n">
        <f aca="false">'City Fiscal'!$B$5+(H850*Controls!$B$56*Controls!$B$55)+('City Fiscal'!$B$9*B850*F850)</f>
        <v>148936.722534294</v>
      </c>
      <c r="K850" s="29" t="n">
        <f aca="false">J850-('City Fiscal'!$B$13*E850)</f>
        <v>30908.9752288336</v>
      </c>
      <c r="L850" s="30" t="n">
        <f aca="false">'Mobility &amp; Emissions'!$B$21*B850*F850</f>
        <v>87.8512520450404</v>
      </c>
    </row>
    <row r="851" customFormat="false" ht="15" hidden="false" customHeight="true" outlineLevel="0" collapsed="false">
      <c r="A851" s="14" t="n">
        <v>847</v>
      </c>
      <c r="B851" s="47" t="n">
        <v>0.901382041505323</v>
      </c>
      <c r="C851" s="47" t="n">
        <v>0.901993902212299</v>
      </c>
      <c r="D851" s="47" t="n">
        <v>0.948166286752131</v>
      </c>
      <c r="E851" s="47" t="n">
        <v>0.949449217842365</v>
      </c>
      <c r="F851" s="47" t="n">
        <v>1.02175219300121</v>
      </c>
      <c r="G851" s="27" t="n">
        <f aca="false">'Visitor Economics'!$B$5*B851</f>
        <v>29024.5017364714</v>
      </c>
      <c r="H851" s="29" t="n">
        <f aca="false">MAX(0,'Visitor Economics'!$B$18*B851*C851*D851)</f>
        <v>557816.917910998</v>
      </c>
      <c r="I851" s="29" t="n">
        <f aca="false">H851*Controls!$B$52</f>
        <v>792100.023433617</v>
      </c>
      <c r="J851" s="29" t="n">
        <f aca="false">'City Fiscal'!$B$5+(H851*Controls!$B$56*Controls!$B$55)+('City Fiscal'!$B$9*B851*F851)</f>
        <v>146293.603966212</v>
      </c>
      <c r="K851" s="29" t="n">
        <f aca="false">J851-('City Fiscal'!$B$13*E851)</f>
        <v>41854.1900035514</v>
      </c>
      <c r="L851" s="30" t="n">
        <f aca="false">'Mobility &amp; Emissions'!$B$21*B851*F851</f>
        <v>85.9574762975705</v>
      </c>
    </row>
    <row r="852" customFormat="false" ht="15" hidden="false" customHeight="true" outlineLevel="0" collapsed="false">
      <c r="A852" s="14" t="n">
        <v>848</v>
      </c>
      <c r="B852" s="47" t="n">
        <v>0.921836870465536</v>
      </c>
      <c r="C852" s="47" t="n">
        <v>0.983740648587942</v>
      </c>
      <c r="D852" s="47" t="n">
        <v>1.01537529968053</v>
      </c>
      <c r="E852" s="47" t="n">
        <v>1.2105189919075</v>
      </c>
      <c r="F852" s="47" t="n">
        <v>1.02070382836294</v>
      </c>
      <c r="G852" s="27" t="n">
        <f aca="false">'Visitor Economics'!$B$5*B852</f>
        <v>29683.1472289903</v>
      </c>
      <c r="H852" s="29" t="n">
        <f aca="false">MAX(0,'Visitor Economics'!$B$18*B852*C852*D852)</f>
        <v>666278.739548184</v>
      </c>
      <c r="I852" s="29" t="n">
        <f aca="false">H852*Controls!$B$52</f>
        <v>946115.810158421</v>
      </c>
      <c r="J852" s="29" t="n">
        <f aca="false">'City Fiscal'!$B$5+(H852*Controls!$B$56*Controls!$B$55)+('City Fiscal'!$B$9*B852*F852)</f>
        <v>149110.542242502</v>
      </c>
      <c r="K852" s="29" t="n">
        <f aca="false">J852-('City Fiscal'!$B$13*E852)</f>
        <v>15953.4531326775</v>
      </c>
      <c r="L852" s="30" t="n">
        <f aca="false">'Mobility &amp; Emissions'!$B$21*B852*F852</f>
        <v>87.8178892890026</v>
      </c>
    </row>
    <row r="853" customFormat="false" ht="15" hidden="false" customHeight="true" outlineLevel="0" collapsed="false">
      <c r="A853" s="14" t="n">
        <v>849</v>
      </c>
      <c r="B853" s="47" t="n">
        <v>0.94482021548315</v>
      </c>
      <c r="C853" s="47" t="n">
        <v>1.0187972332394</v>
      </c>
      <c r="D853" s="47" t="n">
        <v>1.10316250478846</v>
      </c>
      <c r="E853" s="47" t="n">
        <v>0.87802499461439</v>
      </c>
      <c r="F853" s="47" t="n">
        <v>0.889968737783423</v>
      </c>
      <c r="G853" s="27" t="n">
        <f aca="false">'Visitor Economics'!$B$5*B853</f>
        <v>30423.2109385574</v>
      </c>
      <c r="H853" s="29" t="n">
        <f aca="false">MAX(0,'Visitor Economics'!$B$18*B853*C853*D853)</f>
        <v>768371.230598877</v>
      </c>
      <c r="I853" s="29" t="n">
        <f aca="false">H853*Controls!$B$52</f>
        <v>1091087.14745041</v>
      </c>
      <c r="J853" s="29" t="n">
        <f aca="false">'City Fiscal'!$B$5+(H853*Controls!$B$56*Controls!$B$55)+('City Fiscal'!$B$9*B853*F853)</f>
        <v>139159.654314204</v>
      </c>
      <c r="K853" s="29" t="n">
        <f aca="false">J853-('City Fiscal'!$B$13*E853)</f>
        <v>42576.9049066208</v>
      </c>
      <c r="L853" s="30" t="n">
        <f aca="false">'Mobility &amp; Emissions'!$B$21*B853*F853</f>
        <v>78.4789356911322</v>
      </c>
    </row>
    <row r="854" customFormat="false" ht="15" hidden="false" customHeight="true" outlineLevel="0" collapsed="false">
      <c r="A854" s="14" t="n">
        <v>850</v>
      </c>
      <c r="B854" s="47" t="n">
        <v>0.875158814620612</v>
      </c>
      <c r="C854" s="47" t="n">
        <v>1.07371825413838</v>
      </c>
      <c r="D854" s="47" t="n">
        <v>1.12197168281978</v>
      </c>
      <c r="E854" s="47" t="n">
        <v>1.027747328475</v>
      </c>
      <c r="F854" s="47" t="n">
        <v>0.932840207628904</v>
      </c>
      <c r="G854" s="27" t="n">
        <f aca="false">'Visitor Economics'!$B$5*B854</f>
        <v>28180.1138307837</v>
      </c>
      <c r="H854" s="29" t="n">
        <f aca="false">MAX(0,'Visitor Economics'!$B$18*B854*C854*D854)</f>
        <v>762875.685996005</v>
      </c>
      <c r="I854" s="29" t="n">
        <f aca="false">H854*Controls!$B$52</f>
        <v>1083283.47411433</v>
      </c>
      <c r="J854" s="29" t="n">
        <f aca="false">'City Fiscal'!$B$5+(H854*Controls!$B$56*Controls!$B$55)+('City Fiscal'!$B$9*B854*F854)</f>
        <v>136528.029981841</v>
      </c>
      <c r="K854" s="29" t="n">
        <f aca="false">J854-('City Fiscal'!$B$13*E854)</f>
        <v>23475.823849591</v>
      </c>
      <c r="L854" s="30" t="n">
        <f aca="false">'Mobility &amp; Emissions'!$B$21*B854*F854</f>
        <v>76.1944440721965</v>
      </c>
    </row>
    <row r="855" customFormat="false" ht="15" hidden="false" customHeight="true" outlineLevel="0" collapsed="false">
      <c r="A855" s="14" t="n">
        <v>851</v>
      </c>
      <c r="B855" s="47" t="n">
        <v>0.916126411838409</v>
      </c>
      <c r="C855" s="47" t="n">
        <v>0.946107097341902</v>
      </c>
      <c r="D855" s="47" t="n">
        <v>1.00992969779667</v>
      </c>
      <c r="E855" s="47" t="n">
        <v>0.906870593413422</v>
      </c>
      <c r="F855" s="47" t="n">
        <v>0.993326550227095</v>
      </c>
      <c r="G855" s="27" t="n">
        <f aca="false">'Visitor Economics'!$B$5*B855</f>
        <v>29499.2704611968</v>
      </c>
      <c r="H855" s="29" t="n">
        <f aca="false">MAX(0,'Visitor Economics'!$B$18*B855*C855*D855)</f>
        <v>633405.043509803</v>
      </c>
      <c r="I855" s="29" t="n">
        <f aca="false">H855*Controls!$B$52</f>
        <v>899435.161783921</v>
      </c>
      <c r="J855" s="29" t="n">
        <f aca="false">'City Fiscal'!$B$5+(H855*Controls!$B$56*Controls!$B$55)+('City Fiscal'!$B$9*B855*F855)</f>
        <v>145619.272881175</v>
      </c>
      <c r="K855" s="29" t="n">
        <f aca="false">J855-('City Fiscal'!$B$13*E855)</f>
        <v>45863.507605699</v>
      </c>
      <c r="L855" s="30" t="n">
        <f aca="false">'Mobility &amp; Emissions'!$B$21*B855*F855</f>
        <v>84.9330312153241</v>
      </c>
    </row>
    <row r="856" customFormat="false" ht="15" hidden="false" customHeight="true" outlineLevel="0" collapsed="false">
      <c r="A856" s="14" t="n">
        <v>852</v>
      </c>
      <c r="B856" s="47" t="n">
        <v>0.995261366246294</v>
      </c>
      <c r="C856" s="47" t="n">
        <v>0.905223236268051</v>
      </c>
      <c r="D856" s="47" t="n">
        <v>1.06492906765243</v>
      </c>
      <c r="E856" s="47" t="n">
        <v>1.03738826467008</v>
      </c>
      <c r="F856" s="47" t="n">
        <v>0.963545145206653</v>
      </c>
      <c r="G856" s="27" t="n">
        <f aca="false">'Visitor Economics'!$B$5*B856</f>
        <v>32047.4159931307</v>
      </c>
      <c r="H856" s="29" t="n">
        <f aca="false">MAX(0,'Visitor Economics'!$B$18*B856*C856*D856)</f>
        <v>694237.694380781</v>
      </c>
      <c r="I856" s="29" t="n">
        <f aca="false">H856*Controls!$B$52</f>
        <v>985817.526020709</v>
      </c>
      <c r="J856" s="29" t="n">
        <f aca="false">'City Fiscal'!$B$5+(H856*Controls!$B$56*Controls!$B$55)+('City Fiscal'!$B$9*B856*F856)</f>
        <v>151206.801602761</v>
      </c>
      <c r="K856" s="29" t="n">
        <f aca="false">J856-('City Fiscal'!$B$13*E856)</f>
        <v>37094.092489052</v>
      </c>
      <c r="L856" s="30" t="n">
        <f aca="false">'Mobility &amp; Emissions'!$B$21*B856*F856</f>
        <v>89.5031643819925</v>
      </c>
    </row>
    <row r="857" customFormat="false" ht="15" hidden="false" customHeight="true" outlineLevel="0" collapsed="false">
      <c r="A857" s="14" t="n">
        <v>853</v>
      </c>
      <c r="B857" s="47" t="n">
        <v>0.944501655647293</v>
      </c>
      <c r="C857" s="47" t="n">
        <v>0.994284250579334</v>
      </c>
      <c r="D857" s="47" t="n">
        <v>1.00968510241768</v>
      </c>
      <c r="E857" s="47" t="n">
        <v>0.982102745195755</v>
      </c>
      <c r="F857" s="47" t="n">
        <v>0.962549988893824</v>
      </c>
      <c r="G857" s="27" t="n">
        <f aca="false">'Visitor Economics'!$B$5*B857</f>
        <v>30412.9533118428</v>
      </c>
      <c r="H857" s="29" t="n">
        <f aca="false">MAX(0,'Visitor Economics'!$B$18*B857*C857*D857)</f>
        <v>686110.241122086</v>
      </c>
      <c r="I857" s="29" t="n">
        <f aca="false">H857*Controls!$B$52</f>
        <v>974276.542393362</v>
      </c>
      <c r="J857" s="29" t="n">
        <f aca="false">'City Fiscal'!$B$5+(H857*Controls!$B$56*Controls!$B$55)+('City Fiscal'!$B$9*B857*F857)</f>
        <v>145867.191917659</v>
      </c>
      <c r="K857" s="29" t="n">
        <f aca="false">J857-('City Fiscal'!$B$13*E857)</f>
        <v>37835.8899461256</v>
      </c>
      <c r="L857" s="30" t="n">
        <f aca="false">'Mobility &amp; Emissions'!$B$21*B857*F857</f>
        <v>84.8506538485651</v>
      </c>
    </row>
    <row r="858" customFormat="false" ht="15" hidden="false" customHeight="true" outlineLevel="0" collapsed="false">
      <c r="A858" s="14" t="n">
        <v>854</v>
      </c>
      <c r="B858" s="47" t="n">
        <v>0.872108631517356</v>
      </c>
      <c r="C858" s="47" t="n">
        <v>0.941527774603175</v>
      </c>
      <c r="D858" s="47" t="n">
        <v>1.17221021918015</v>
      </c>
      <c r="E858" s="47" t="n">
        <v>1.10465988165685</v>
      </c>
      <c r="F858" s="47" t="n">
        <v>0.942830490680595</v>
      </c>
      <c r="G858" s="27" t="n">
        <f aca="false">'Visitor Economics'!$B$5*B858</f>
        <v>28081.8979348589</v>
      </c>
      <c r="H858" s="29" t="n">
        <f aca="false">MAX(0,'Visitor Economics'!$B$18*B858*C858*D858)</f>
        <v>696472.372511503</v>
      </c>
      <c r="I858" s="29" t="n">
        <f aca="false">H858*Controls!$B$52</f>
        <v>988990.768966334</v>
      </c>
      <c r="J858" s="29" t="n">
        <f aca="false">'City Fiscal'!$B$5+(H858*Controls!$B$56*Controls!$B$55)+('City Fiscal'!$B$9*B858*F858)</f>
        <v>136720.012749063</v>
      </c>
      <c r="K858" s="29" t="n">
        <f aca="false">J858-('City Fiscal'!$B$13*E858)</f>
        <v>15207.4257668095</v>
      </c>
      <c r="L858" s="30" t="n">
        <f aca="false">'Mobility &amp; Emissions'!$B$21*B858*F858</f>
        <v>76.7420471621658</v>
      </c>
    </row>
    <row r="859" customFormat="false" ht="15" hidden="false" customHeight="true" outlineLevel="0" collapsed="false">
      <c r="A859" s="14" t="n">
        <v>855</v>
      </c>
      <c r="B859" s="47" t="n">
        <v>1.006583592135</v>
      </c>
      <c r="C859" s="47" t="n">
        <v>0.926108435102964</v>
      </c>
      <c r="D859" s="47" t="n">
        <v>0.969556060309345</v>
      </c>
      <c r="E859" s="47" t="n">
        <v>1.05896008270521</v>
      </c>
      <c r="F859" s="47" t="n">
        <v>0.949385612640865</v>
      </c>
      <c r="G859" s="27" t="n">
        <f aca="false">'Visitor Economics'!$B$5*B859</f>
        <v>32411.991666747</v>
      </c>
      <c r="H859" s="29" t="n">
        <f aca="false">MAX(0,'Visitor Economics'!$B$18*B859*C859*D859)</f>
        <v>654002.308915688</v>
      </c>
      <c r="I859" s="29" t="n">
        <f aca="false">H859*Controls!$B$52</f>
        <v>928683.278660277</v>
      </c>
      <c r="J859" s="29" t="n">
        <f aca="false">'City Fiscal'!$B$5+(H859*Controls!$B$56*Controls!$B$55)+('City Fiscal'!$B$9*B859*F859)</f>
        <v>150591.492486709</v>
      </c>
      <c r="K859" s="29" t="n">
        <f aca="false">J859-('City Fiscal'!$B$13*E859)</f>
        <v>34105.8833891357</v>
      </c>
      <c r="L859" s="30" t="n">
        <f aca="false">'Mobility &amp; Emissions'!$B$21*B859*F859</f>
        <v>89.191130621943</v>
      </c>
    </row>
    <row r="860" customFormat="false" ht="15" hidden="false" customHeight="true" outlineLevel="0" collapsed="false">
      <c r="A860" s="14" t="n">
        <v>856</v>
      </c>
      <c r="B860" s="47" t="n">
        <v>0.875511255881179</v>
      </c>
      <c r="C860" s="47" t="n">
        <v>0.873244718047897</v>
      </c>
      <c r="D860" s="47" t="n">
        <v>0.982224380330365</v>
      </c>
      <c r="E860" s="47" t="n">
        <v>1.00563091439382</v>
      </c>
      <c r="F860" s="47" t="n">
        <v>0.977720397744448</v>
      </c>
      <c r="G860" s="27" t="n">
        <f aca="false">'Visitor Economics'!$B$5*B860</f>
        <v>28191.462439374</v>
      </c>
      <c r="H860" s="29" t="n">
        <f aca="false">MAX(0,'Visitor Economics'!$B$18*B860*C860*D860)</f>
        <v>543379.288365775</v>
      </c>
      <c r="I860" s="29" t="n">
        <f aca="false">H860*Controls!$B$52</f>
        <v>771598.589479401</v>
      </c>
      <c r="J860" s="29" t="n">
        <f aca="false">'City Fiscal'!$B$5+(H860*Controls!$B$56*Controls!$B$55)+('City Fiscal'!$B$9*B860*F860)</f>
        <v>139307.940707861</v>
      </c>
      <c r="K860" s="29" t="n">
        <f aca="false">J860-('City Fiscal'!$B$13*E860)</f>
        <v>28688.5401245413</v>
      </c>
      <c r="L860" s="30" t="n">
        <f aca="false">'Mobility &amp; Emissions'!$B$21*B860*F860</f>
        <v>79.8924217689411</v>
      </c>
    </row>
    <row r="861" customFormat="false" ht="15" hidden="false" customHeight="true" outlineLevel="0" collapsed="false">
      <c r="A861" s="14" t="n">
        <v>857</v>
      </c>
      <c r="B861" s="47" t="n">
        <v>0.850159817559626</v>
      </c>
      <c r="C861" s="47" t="n">
        <v>1.05523890056523</v>
      </c>
      <c r="D861" s="47" t="n">
        <v>0.995827940730574</v>
      </c>
      <c r="E861" s="47" t="n">
        <v>1.2042151771872</v>
      </c>
      <c r="F861" s="47" t="n">
        <v>0.939120704665078</v>
      </c>
      <c r="G861" s="27" t="n">
        <f aca="false">'Visitor Economics'!$B$5*B861</f>
        <v>27375.14612542</v>
      </c>
      <c r="H861" s="29" t="n">
        <f aca="false">MAX(0,'Visitor Economics'!$B$18*B861*C861*D861)</f>
        <v>646443.15940626</v>
      </c>
      <c r="I861" s="29" t="n">
        <f aca="false">H861*Controls!$B$52</f>
        <v>917949.286356889</v>
      </c>
      <c r="J861" s="29" t="n">
        <f aca="false">'City Fiscal'!$B$5+(H861*Controls!$B$56*Controls!$B$55)+('City Fiscal'!$B$9*B861*F861)</f>
        <v>133866.542646931</v>
      </c>
      <c r="K861" s="29" t="n">
        <f aca="false">J861-('City Fiscal'!$B$13*E861)</f>
        <v>1402.87315633876</v>
      </c>
      <c r="L861" s="30" t="n">
        <f aca="false">'Mobility &amp; Emissions'!$B$21*B861*F861</f>
        <v>74.5162800571008</v>
      </c>
    </row>
    <row r="862" customFormat="false" ht="15" hidden="false" customHeight="true" outlineLevel="0" collapsed="false">
      <c r="A862" s="14" t="n">
        <v>858</v>
      </c>
      <c r="B862" s="47" t="n">
        <v>0.90559936305571</v>
      </c>
      <c r="C862" s="47" t="n">
        <v>1.06292110722868</v>
      </c>
      <c r="D862" s="47" t="n">
        <v>1.08259704303687</v>
      </c>
      <c r="E862" s="47" t="n">
        <v>0.900872121277978</v>
      </c>
      <c r="F862" s="47" t="n">
        <v>0.990151703521577</v>
      </c>
      <c r="G862" s="27" t="n">
        <f aca="false">'Visitor Economics'!$B$5*B862</f>
        <v>29160.2994903939</v>
      </c>
      <c r="H862" s="29" t="n">
        <f aca="false">MAX(0,'Visitor Economics'!$B$18*B862*C862*D862)</f>
        <v>754047.398150687</v>
      </c>
      <c r="I862" s="29" t="n">
        <f aca="false">H862*Controls!$B$52</f>
        <v>1070747.30537398</v>
      </c>
      <c r="J862" s="29" t="n">
        <f aca="false">'City Fiscal'!$B$5+(H862*Controls!$B$56*Controls!$B$55)+('City Fiscal'!$B$9*B862*F862)</f>
        <v>144987.066850191</v>
      </c>
      <c r="K862" s="29" t="n">
        <f aca="false">J862-('City Fiscal'!$B$13*E862)</f>
        <v>45891.1335096137</v>
      </c>
      <c r="L862" s="30" t="n">
        <f aca="false">'Mobility &amp; Emissions'!$B$21*B862*F862</f>
        <v>83.6887389449539</v>
      </c>
    </row>
    <row r="863" customFormat="false" ht="15" hidden="false" customHeight="true" outlineLevel="0" collapsed="false">
      <c r="A863" s="14" t="n">
        <v>859</v>
      </c>
      <c r="B863" s="47" t="n">
        <v>0.92946823761795</v>
      </c>
      <c r="C863" s="47" t="n">
        <v>1.09217914451351</v>
      </c>
      <c r="D863" s="47" t="n">
        <v>0.985772447135179</v>
      </c>
      <c r="E863" s="47" t="n">
        <v>0.936549131270894</v>
      </c>
      <c r="F863" s="47" t="n">
        <v>1.03371371534011</v>
      </c>
      <c r="G863" s="27" t="n">
        <f aca="false">'Visitor Economics'!$B$5*B863</f>
        <v>29928.877251298</v>
      </c>
      <c r="H863" s="29" t="n">
        <f aca="false">MAX(0,'Visitor Economics'!$B$18*B863*C863*D863)</f>
        <v>724102.050752863</v>
      </c>
      <c r="I863" s="29" t="n">
        <f aca="false">H863*Controls!$B$52</f>
        <v>1028224.91206907</v>
      </c>
      <c r="J863" s="29" t="n">
        <f aca="false">'City Fiscal'!$B$5+(H863*Controls!$B$56*Controls!$B$55)+('City Fiscal'!$B$9*B863*F863)</f>
        <v>151593.859438769</v>
      </c>
      <c r="K863" s="29" t="n">
        <f aca="false">J863-('City Fiscal'!$B$13*E863)</f>
        <v>48573.4549989702</v>
      </c>
      <c r="L863" s="30" t="n">
        <f aca="false">'Mobility &amp; Emissions'!$B$21*B863*F863</f>
        <v>89.6734767719032</v>
      </c>
    </row>
    <row r="864" customFormat="false" ht="15" hidden="false" customHeight="true" outlineLevel="0" collapsed="false">
      <c r="A864" s="14" t="n">
        <v>860</v>
      </c>
      <c r="B864" s="47" t="n">
        <v>0.89672531859027</v>
      </c>
      <c r="C864" s="47" t="n">
        <v>0.986033129224261</v>
      </c>
      <c r="D864" s="47" t="n">
        <v>0.995108112352835</v>
      </c>
      <c r="E864" s="47" t="n">
        <v>1.07635164843858</v>
      </c>
      <c r="F864" s="47" t="n">
        <v>0.982730930833774</v>
      </c>
      <c r="G864" s="27" t="n">
        <f aca="false">'Visitor Economics'!$B$5*B864</f>
        <v>28874.5552586067</v>
      </c>
      <c r="H864" s="29" t="n">
        <f aca="false">MAX(0,'Visitor Economics'!$B$18*B864*C864*D864)</f>
        <v>636672.182592326</v>
      </c>
      <c r="I864" s="29" t="n">
        <f aca="false">H864*Controls!$B$52</f>
        <v>904074.499281103</v>
      </c>
      <c r="J864" s="29" t="n">
        <f aca="false">'City Fiscal'!$B$5+(H864*Controls!$B$56*Controls!$B$55)+('City Fiscal'!$B$9*B864*F864)</f>
        <v>142588.817522272</v>
      </c>
      <c r="K864" s="29" t="n">
        <f aca="false">J864-('City Fiscal'!$B$13*E864)</f>
        <v>24190.1361940286</v>
      </c>
      <c r="L864" s="30" t="n">
        <f aca="false">'Mobility &amp; Emissions'!$B$21*B864*F864</f>
        <v>82.2475999655852</v>
      </c>
    </row>
    <row r="865" customFormat="false" ht="15" hidden="false" customHeight="true" outlineLevel="0" collapsed="false">
      <c r="A865" s="14" t="n">
        <v>861</v>
      </c>
      <c r="B865" s="47" t="n">
        <v>0.91109691071875</v>
      </c>
      <c r="C865" s="47" t="n">
        <v>1.06452027397328</v>
      </c>
      <c r="D865" s="47" t="n">
        <v>0.97730712100682</v>
      </c>
      <c r="E865" s="47" t="n">
        <v>1.164816374813</v>
      </c>
      <c r="F865" s="47" t="n">
        <v>0.887047267105685</v>
      </c>
      <c r="G865" s="27" t="n">
        <f aca="false">'Visitor Economics'!$B$5*B865</f>
        <v>29337.3205251438</v>
      </c>
      <c r="H865" s="29" t="n">
        <f aca="false">MAX(0,'Visitor Economics'!$B$18*B865*C865*D865)</f>
        <v>685873.848229373</v>
      </c>
      <c r="I865" s="29" t="n">
        <f aca="false">H865*Controls!$B$52</f>
        <v>973940.86448571</v>
      </c>
      <c r="J865" s="29" t="n">
        <f aca="false">'City Fiscal'!$B$5+(H865*Controls!$B$56*Controls!$B$55)+('City Fiscal'!$B$9*B865*F865)</f>
        <v>135159.662085958</v>
      </c>
      <c r="K865" s="29" t="n">
        <f aca="false">J865-('City Fiscal'!$B$13*E865)</f>
        <v>7029.86085652768</v>
      </c>
      <c r="L865" s="30" t="n">
        <f aca="false">'Mobility &amp; Emissions'!$B$21*B865*F865</f>
        <v>75.4293756034996</v>
      </c>
    </row>
    <row r="866" customFormat="false" ht="15" hidden="false" customHeight="true" outlineLevel="0" collapsed="false">
      <c r="A866" s="14" t="n">
        <v>862</v>
      </c>
      <c r="B866" s="47" t="n">
        <v>0.931208108478308</v>
      </c>
      <c r="C866" s="47" t="n">
        <v>1.00576340341204</v>
      </c>
      <c r="D866" s="47" t="n">
        <v>1.10396490147913</v>
      </c>
      <c r="E866" s="47" t="n">
        <v>1.0567223499729</v>
      </c>
      <c r="F866" s="47" t="n">
        <v>1.00128046530466</v>
      </c>
      <c r="G866" s="27" t="n">
        <f aca="false">'Visitor Economics'!$B$5*B866</f>
        <v>29984.9010930015</v>
      </c>
      <c r="H866" s="29" t="n">
        <f aca="false">MAX(0,'Visitor Economics'!$B$18*B866*C866*D866)</f>
        <v>748156.603409193</v>
      </c>
      <c r="I866" s="29" t="n">
        <f aca="false">H866*Controls!$B$52</f>
        <v>1062382.37684105</v>
      </c>
      <c r="J866" s="29" t="n">
        <f aca="false">'City Fiscal'!$B$5+(H866*Controls!$B$56*Controls!$B$55)+('City Fiscal'!$B$9*B866*F866)</f>
        <v>148737.28506295</v>
      </c>
      <c r="K866" s="29" t="n">
        <f aca="false">J866-('City Fiscal'!$B$13*E866)</f>
        <v>32497.8265659307</v>
      </c>
      <c r="L866" s="30" t="n">
        <f aca="false">'Mobility &amp; Emissions'!$B$21*B866*F866</f>
        <v>87.0225226401151</v>
      </c>
    </row>
    <row r="867" customFormat="false" ht="15" hidden="false" customHeight="true" outlineLevel="0" collapsed="false">
      <c r="A867" s="14" t="n">
        <v>863</v>
      </c>
      <c r="B867" s="47" t="n">
        <v>0.86548684109265</v>
      </c>
      <c r="C867" s="47" t="n">
        <v>0.961446102809515</v>
      </c>
      <c r="D867" s="47" t="n">
        <v>0.894819423443945</v>
      </c>
      <c r="E867" s="47" t="n">
        <v>0.886712067873811</v>
      </c>
      <c r="F867" s="47" t="n">
        <v>0.984916640930613</v>
      </c>
      <c r="G867" s="27" t="n">
        <f aca="false">'Visitor Economics'!$B$5*B867</f>
        <v>27868.6762831833</v>
      </c>
      <c r="H867" s="29" t="n">
        <f aca="false">MAX(0,'Visitor Economics'!$B$18*B867*C867*D867)</f>
        <v>538784.985672392</v>
      </c>
      <c r="I867" s="29" t="n">
        <f aca="false">H867*Controls!$B$52</f>
        <v>765074.679654797</v>
      </c>
      <c r="J867" s="29" t="n">
        <f aca="false">'City Fiscal'!$B$5+(H867*Controls!$B$56*Controls!$B$55)+('City Fiscal'!$B$9*B867*F867)</f>
        <v>138899.240693858</v>
      </c>
      <c r="K867" s="29" t="n">
        <f aca="false">J867-('City Fiscal'!$B$13*E867)</f>
        <v>41360.9132277392</v>
      </c>
      <c r="L867" s="30" t="n">
        <f aca="false">'Mobility &amp; Emissions'!$B$21*B867*F867</f>
        <v>79.5589643082971</v>
      </c>
    </row>
    <row r="868" customFormat="false" ht="15" hidden="false" customHeight="true" outlineLevel="0" collapsed="false">
      <c r="A868" s="14" t="n">
        <v>864</v>
      </c>
      <c r="B868" s="47" t="n">
        <v>0.884096109437385</v>
      </c>
      <c r="C868" s="47" t="n">
        <v>0.989254246623238</v>
      </c>
      <c r="D868" s="47" t="n">
        <v>0.950000882350651</v>
      </c>
      <c r="E868" s="47" t="n">
        <v>1.01527942143902</v>
      </c>
      <c r="F868" s="47" t="n">
        <v>1.04214593192652</v>
      </c>
      <c r="G868" s="27" t="n">
        <f aca="false">'Visitor Economics'!$B$5*B868</f>
        <v>28467.8947238838</v>
      </c>
      <c r="H868" s="29" t="n">
        <f aca="false">MAX(0,'Visitor Economics'!$B$18*B868*C868*D868)</f>
        <v>601209.841145004</v>
      </c>
      <c r="I868" s="29" t="n">
        <f aca="false">H868*Controls!$B$52</f>
        <v>853717.974425906</v>
      </c>
      <c r="J868" s="29" t="n">
        <f aca="false">'City Fiscal'!$B$5+(H868*Controls!$B$56*Controls!$B$55)+('City Fiscal'!$B$9*B868*F868)</f>
        <v>146613.828875515</v>
      </c>
      <c r="K868" s="29" t="n">
        <f aca="false">J868-('City Fiscal'!$B$13*E868)</f>
        <v>34933.0925172224</v>
      </c>
      <c r="L868" s="30" t="n">
        <f aca="false">'Mobility &amp; Emissions'!$B$21*B868*F868</f>
        <v>85.9918304123075</v>
      </c>
    </row>
    <row r="869" customFormat="false" ht="15" hidden="false" customHeight="true" outlineLevel="0" collapsed="false">
      <c r="A869" s="14" t="n">
        <v>865</v>
      </c>
      <c r="B869" s="47" t="n">
        <v>0.940325662851832</v>
      </c>
      <c r="C869" s="47" t="n">
        <v>0.921955872807799</v>
      </c>
      <c r="D869" s="47" t="n">
        <v>0.967361415451528</v>
      </c>
      <c r="E869" s="47" t="n">
        <v>1.03387792801289</v>
      </c>
      <c r="F869" s="47" t="n">
        <v>1.06554587043844</v>
      </c>
      <c r="G869" s="27" t="n">
        <f aca="false">'Visitor Economics'!$B$5*B869</f>
        <v>30278.486343829</v>
      </c>
      <c r="H869" s="29" t="n">
        <f aca="false">MAX(0,'Visitor Economics'!$B$18*B869*C869*D869)</f>
        <v>606836.722973422</v>
      </c>
      <c r="I869" s="29" t="n">
        <f aca="false">H869*Controls!$B$52</f>
        <v>861708.146622259</v>
      </c>
      <c r="J869" s="29" t="n">
        <f aca="false">'City Fiscal'!$B$5+(H869*Controls!$B$56*Controls!$B$55)+('City Fiscal'!$B$9*B869*F869)</f>
        <v>155198.940575744</v>
      </c>
      <c r="K869" s="29" t="n">
        <f aca="false">J869-('City Fiscal'!$B$13*E869)</f>
        <v>41472.3684943266</v>
      </c>
      <c r="L869" s="30" t="n">
        <f aca="false">'Mobility &amp; Emissions'!$B$21*B869*F869</f>
        <v>93.5146419775715</v>
      </c>
    </row>
    <row r="870" customFormat="false" ht="15" hidden="false" customHeight="true" outlineLevel="0" collapsed="false">
      <c r="A870" s="14" t="n">
        <v>866</v>
      </c>
      <c r="B870" s="47" t="n">
        <v>0.91965958613715</v>
      </c>
      <c r="C870" s="47" t="n">
        <v>0.874744862772684</v>
      </c>
      <c r="D870" s="47" t="n">
        <v>1.05353435414811</v>
      </c>
      <c r="E870" s="47" t="n">
        <v>0.992959821924053</v>
      </c>
      <c r="F870" s="47" t="n">
        <v>0.991271016135653</v>
      </c>
      <c r="G870" s="27" t="n">
        <f aca="false">'Visitor Economics'!$B$5*B870</f>
        <v>29613.0386736162</v>
      </c>
      <c r="H870" s="29" t="n">
        <f aca="false">MAX(0,'Visitor Economics'!$B$18*B870*C870*D870)</f>
        <v>613270.217188099</v>
      </c>
      <c r="I870" s="29" t="n">
        <f aca="false">H870*Controls!$B$52</f>
        <v>870843.708407101</v>
      </c>
      <c r="J870" s="29" t="n">
        <f aca="false">'City Fiscal'!$B$5+(H870*Controls!$B$56*Controls!$B$55)+('City Fiscal'!$B$9*B870*F870)</f>
        <v>145660.529980661</v>
      </c>
      <c r="K870" s="29" t="n">
        <f aca="false">J870-('City Fiscal'!$B$13*E870)</f>
        <v>36434.9495690155</v>
      </c>
      <c r="L870" s="30" t="n">
        <f aca="false">'Mobility &amp; Emissions'!$B$21*B870*F870</f>
        <v>85.0841542964886</v>
      </c>
    </row>
    <row r="871" customFormat="false" ht="15" hidden="false" customHeight="true" outlineLevel="0" collapsed="false">
      <c r="A871" s="14" t="n">
        <v>867</v>
      </c>
      <c r="B871" s="47" t="n">
        <v>0.865290093211346</v>
      </c>
      <c r="C871" s="47" t="n">
        <v>0.971224997933543</v>
      </c>
      <c r="D871" s="47" t="n">
        <v>1.19858259049699</v>
      </c>
      <c r="E871" s="47" t="n">
        <v>1.20918027437623</v>
      </c>
      <c r="F871" s="47" t="n">
        <v>1.01375573406561</v>
      </c>
      <c r="G871" s="27" t="n">
        <f aca="false">'Visitor Economics'!$B$5*B871</f>
        <v>27862.3410014053</v>
      </c>
      <c r="H871" s="29" t="n">
        <f aca="false">MAX(0,'Visitor Economics'!$B$18*B871*C871*D871)</f>
        <v>728860.17044871</v>
      </c>
      <c r="I871" s="29" t="n">
        <f aca="false">H871*Controls!$B$52</f>
        <v>1034981.44203717</v>
      </c>
      <c r="J871" s="29" t="n">
        <f aca="false">'City Fiscal'!$B$5+(H871*Controls!$B$56*Controls!$B$55)+('City Fiscal'!$B$9*B871*F871)</f>
        <v>142756.985105189</v>
      </c>
      <c r="K871" s="29" t="n">
        <f aca="false">J871-('City Fiscal'!$B$13*E871)</f>
        <v>9747.15492380355</v>
      </c>
      <c r="L871" s="30" t="n">
        <f aca="false">'Mobility &amp; Emissions'!$B$21*B871*F871</f>
        <v>81.8698946565995</v>
      </c>
    </row>
    <row r="872" customFormat="false" ht="15" hidden="false" customHeight="true" outlineLevel="0" collapsed="false">
      <c r="A872" s="14" t="n">
        <v>868</v>
      </c>
      <c r="B872" s="47" t="n">
        <v>0.827623523599163</v>
      </c>
      <c r="C872" s="47" t="n">
        <v>0.979903095654837</v>
      </c>
      <c r="D872" s="47" t="n">
        <v>1.09651140107487</v>
      </c>
      <c r="E872" s="47" t="n">
        <v>1.13809043829949</v>
      </c>
      <c r="F872" s="47" t="n">
        <v>0.938105050933531</v>
      </c>
      <c r="G872" s="27" t="n">
        <f aca="false">'Visitor Economics'!$B$5*B872</f>
        <v>26649.4774598931</v>
      </c>
      <c r="H872" s="29" t="n">
        <f aca="false">MAX(0,'Visitor Economics'!$B$18*B872*C872*D872)</f>
        <v>643463.292776651</v>
      </c>
      <c r="I872" s="29" t="n">
        <f aca="false">H872*Controls!$B$52</f>
        <v>913717.875742844</v>
      </c>
      <c r="J872" s="29" t="n">
        <f aca="false">'City Fiscal'!$B$5+(H872*Controls!$B$56*Controls!$B$55)+('City Fiscal'!$B$9*B872*F872)</f>
        <v>131513.423130935</v>
      </c>
      <c r="K872" s="29" t="n">
        <f aca="false">J872-('City Fiscal'!$B$13*E872)</f>
        <v>6323.47491799149</v>
      </c>
      <c r="L872" s="30" t="n">
        <f aca="false">'Mobility &amp; Emissions'!$B$21*B872*F872</f>
        <v>72.4625272744936</v>
      </c>
    </row>
    <row r="873" customFormat="false" ht="15" hidden="false" customHeight="true" outlineLevel="0" collapsed="false">
      <c r="A873" s="14" t="n">
        <v>869</v>
      </c>
      <c r="B873" s="47" t="n">
        <v>0.876037492678641</v>
      </c>
      <c r="C873" s="47" t="n">
        <v>0.993196420286333</v>
      </c>
      <c r="D873" s="47" t="n">
        <v>1.15581268662925</v>
      </c>
      <c r="E873" s="47" t="n">
        <v>0.905974996365222</v>
      </c>
      <c r="F873" s="47" t="n">
        <v>0.898140419607644</v>
      </c>
      <c r="G873" s="27" t="n">
        <f aca="false">'Visitor Economics'!$B$5*B873</f>
        <v>28208.4072642522</v>
      </c>
      <c r="H873" s="29" t="n">
        <f aca="false">MAX(0,'Visitor Economics'!$B$18*B873*C873*D873)</f>
        <v>727679.207682791</v>
      </c>
      <c r="I873" s="29" t="n">
        <f aca="false">H873*Controls!$B$52</f>
        <v>1033304.47490956</v>
      </c>
      <c r="J873" s="29" t="n">
        <f aca="false">'City Fiscal'!$B$5+(H873*Controls!$B$56*Controls!$B$55)+('City Fiscal'!$B$9*B873*F873)</f>
        <v>133162.88225505</v>
      </c>
      <c r="K873" s="29" t="n">
        <f aca="false">J873-('City Fiscal'!$B$13*E873)</f>
        <v>33505.6326548753</v>
      </c>
      <c r="L873" s="30" t="n">
        <f aca="false">'Mobility &amp; Emissions'!$B$21*B873*F873</f>
        <v>73.4338184705534</v>
      </c>
    </row>
    <row r="874" customFormat="false" ht="15" hidden="false" customHeight="true" outlineLevel="0" collapsed="false">
      <c r="A874" s="14" t="n">
        <v>870</v>
      </c>
      <c r="B874" s="47" t="n">
        <v>0.897442752011352</v>
      </c>
      <c r="C874" s="47" t="n">
        <v>1.01158413400244</v>
      </c>
      <c r="D874" s="47" t="n">
        <v>0.953909459202195</v>
      </c>
      <c r="E874" s="47" t="n">
        <v>0.870154760491901</v>
      </c>
      <c r="F874" s="47" t="n">
        <v>0.995816665714177</v>
      </c>
      <c r="G874" s="27" t="n">
        <f aca="false">'Visitor Economics'!$B$5*B874</f>
        <v>28897.6566147655</v>
      </c>
      <c r="H874" s="29" t="n">
        <f aca="false">MAX(0,'Visitor Economics'!$B$18*B874*C874*D874)</f>
        <v>626629.142277788</v>
      </c>
      <c r="I874" s="29" t="n">
        <f aca="false">H874*Controls!$B$52</f>
        <v>889813.382034459</v>
      </c>
      <c r="J874" s="29" t="n">
        <f aca="false">'City Fiscal'!$B$5+(H874*Controls!$B$56*Controls!$B$55)+('City Fiscal'!$B$9*B874*F874)</f>
        <v>143844.036629931</v>
      </c>
      <c r="K874" s="29" t="n">
        <f aca="false">J874-('City Fiscal'!$B$13*E874)</f>
        <v>48127.0129758222</v>
      </c>
      <c r="L874" s="30" t="n">
        <f aca="false">'Mobility &amp; Emissions'!$B$21*B874*F874</f>
        <v>83.4094622134146</v>
      </c>
    </row>
    <row r="875" customFormat="false" ht="15" hidden="false" customHeight="true" outlineLevel="0" collapsed="false">
      <c r="A875" s="14" t="n">
        <v>871</v>
      </c>
      <c r="B875" s="47" t="n">
        <v>0.884257373839935</v>
      </c>
      <c r="C875" s="47" t="n">
        <v>0.829</v>
      </c>
      <c r="D875" s="47" t="n">
        <v>0.922178409050038</v>
      </c>
      <c r="E875" s="47" t="n">
        <v>1.09534312171778</v>
      </c>
      <c r="F875" s="47" t="n">
        <v>0.894243643611258</v>
      </c>
      <c r="G875" s="27" t="n">
        <f aca="false">'Visitor Economics'!$B$5*B875</f>
        <v>28473.0874376459</v>
      </c>
      <c r="H875" s="29" t="n">
        <f aca="false">MAX(0,'Visitor Economics'!$B$18*B875*C875*D875)</f>
        <v>489150.881021523</v>
      </c>
      <c r="I875" s="29" t="n">
        <f aca="false">H875*Controls!$B$52</f>
        <v>694594.251050563</v>
      </c>
      <c r="J875" s="29" t="n">
        <f aca="false">'City Fiscal'!$B$5+(H875*Controls!$B$56*Controls!$B$55)+('City Fiscal'!$B$9*B875*F875)</f>
        <v>132034.756576763</v>
      </c>
      <c r="K875" s="29" t="n">
        <f aca="false">J875-('City Fiscal'!$B$13*E875)</f>
        <v>11547.0131878073</v>
      </c>
      <c r="L875" s="30" t="n">
        <f aca="false">'Mobility &amp; Emissions'!$B$21*B875*F875</f>
        <v>73.8012518036144</v>
      </c>
    </row>
    <row r="876" customFormat="false" ht="15" hidden="false" customHeight="true" outlineLevel="0" collapsed="false">
      <c r="A876" s="14" t="n">
        <v>872</v>
      </c>
      <c r="B876" s="47" t="n">
        <v>0.955100077041648</v>
      </c>
      <c r="C876" s="47" t="n">
        <v>1.07997500780762</v>
      </c>
      <c r="D876" s="47" t="n">
        <v>1.05086122928972</v>
      </c>
      <c r="E876" s="47" t="n">
        <v>1.06037207484128</v>
      </c>
      <c r="F876" s="47" t="n">
        <v>0.925149850299252</v>
      </c>
      <c r="G876" s="27" t="n">
        <f aca="false">'Visitor Economics'!$B$5*B876</f>
        <v>30754.2224807411</v>
      </c>
      <c r="H876" s="29" t="n">
        <f aca="false">MAX(0,'Visitor Economics'!$B$18*B876*C876*D876)</f>
        <v>784336.858603282</v>
      </c>
      <c r="I876" s="29" t="n">
        <f aca="false">H876*Controls!$B$52</f>
        <v>1113758.33921666</v>
      </c>
      <c r="J876" s="29" t="n">
        <f aca="false">'City Fiscal'!$B$5+(H876*Controls!$B$56*Controls!$B$55)+('City Fiscal'!$B$9*B876*F876)</f>
        <v>143797.148461344</v>
      </c>
      <c r="K876" s="29" t="n">
        <f aca="false">J876-('City Fiscal'!$B$13*E876)</f>
        <v>27156.2202288034</v>
      </c>
      <c r="L876" s="30" t="n">
        <f aca="false">'Mobility &amp; Emissions'!$B$21*B876*F876</f>
        <v>82.4688881434835</v>
      </c>
    </row>
    <row r="877" customFormat="false" ht="15" hidden="false" customHeight="true" outlineLevel="0" collapsed="false">
      <c r="A877" s="14" t="n">
        <v>873</v>
      </c>
      <c r="B877" s="47" t="n">
        <v>0.999506098468081</v>
      </c>
      <c r="C877" s="47" t="n">
        <v>0.988614945956757</v>
      </c>
      <c r="D877" s="47" t="n">
        <v>1.08614411820139</v>
      </c>
      <c r="E877" s="47" t="n">
        <v>1.06150928404826</v>
      </c>
      <c r="F877" s="47" t="n">
        <v>0.973602184446716</v>
      </c>
      <c r="G877" s="27" t="n">
        <f aca="false">'Visitor Economics'!$B$5*B877</f>
        <v>32184.0963706722</v>
      </c>
      <c r="H877" s="29" t="n">
        <f aca="false">MAX(0,'Visitor Economics'!$B$18*B877*C877*D877)</f>
        <v>776595.276046107</v>
      </c>
      <c r="I877" s="29" t="n">
        <f aca="false">H877*Controls!$B$52</f>
        <v>1102765.29198547</v>
      </c>
      <c r="J877" s="29" t="n">
        <f aca="false">'City Fiscal'!$B$5+(H877*Controls!$B$56*Controls!$B$55)+('City Fiscal'!$B$9*B877*F877)</f>
        <v>153240.36827503</v>
      </c>
      <c r="K877" s="29" t="n">
        <f aca="false">J877-('City Fiscal'!$B$13*E877)</f>
        <v>36474.3470297211</v>
      </c>
      <c r="L877" s="30" t="n">
        <f aca="false">'Mobility &amp; Emissions'!$B$21*B877*F877</f>
        <v>90.8230671799009</v>
      </c>
    </row>
    <row r="878" customFormat="false" ht="15" hidden="false" customHeight="true" outlineLevel="0" collapsed="false">
      <c r="A878" s="14" t="n">
        <v>874</v>
      </c>
      <c r="B878" s="47" t="n">
        <v>0.958323424219563</v>
      </c>
      <c r="C878" s="47" t="n">
        <v>0.969428912864947</v>
      </c>
      <c r="D878" s="47" t="n">
        <v>1.13553930805731</v>
      </c>
      <c r="E878" s="47" t="n">
        <v>0.899909323611203</v>
      </c>
      <c r="F878" s="47" t="n">
        <v>1.0760574547368</v>
      </c>
      <c r="G878" s="27" t="n">
        <f aca="false">'Visitor Economics'!$B$5*B878</f>
        <v>30858.0142598699</v>
      </c>
      <c r="H878" s="29" t="n">
        <f aca="false">MAX(0,'Visitor Economics'!$B$18*B878*C878*D878)</f>
        <v>763352.116309526</v>
      </c>
      <c r="I878" s="29" t="n">
        <f aca="false">H878*Controls!$B$52</f>
        <v>1083960.00515953</v>
      </c>
      <c r="J878" s="29" t="n">
        <f aca="false">'City Fiscal'!$B$5+(H878*Controls!$B$56*Controls!$B$55)+('City Fiscal'!$B$9*B878*F878)</f>
        <v>159315.478219854</v>
      </c>
      <c r="K878" s="29" t="n">
        <f aca="false">J878-('City Fiscal'!$B$13*E878)</f>
        <v>60325.4526226213</v>
      </c>
      <c r="L878" s="30" t="n">
        <f aca="false">'Mobility &amp; Emissions'!$B$21*B878*F878</f>
        <v>96.2446817254277</v>
      </c>
    </row>
    <row r="879" customFormat="false" ht="15" hidden="false" customHeight="true" outlineLevel="0" collapsed="false">
      <c r="A879" s="14" t="n">
        <v>875</v>
      </c>
      <c r="B879" s="47" t="n">
        <v>0.868764857911225</v>
      </c>
      <c r="C879" s="47" t="n">
        <v>1.03336282553084</v>
      </c>
      <c r="D879" s="47" t="n">
        <v>1.22972070020933</v>
      </c>
      <c r="E879" s="47" t="n">
        <v>1.13110403707442</v>
      </c>
      <c r="F879" s="47" t="n">
        <v>1.06770479965393</v>
      </c>
      <c r="G879" s="27" t="n">
        <f aca="false">'Visitor Economics'!$B$5*B879</f>
        <v>27974.2284247414</v>
      </c>
      <c r="H879" s="29" t="n">
        <f aca="false">MAX(0,'Visitor Economics'!$B$18*B879*C879*D879)</f>
        <v>798833.432341245</v>
      </c>
      <c r="I879" s="29" t="n">
        <f aca="false">H879*Controls!$B$52</f>
        <v>1134343.47392457</v>
      </c>
      <c r="J879" s="29" t="n">
        <f aca="false">'City Fiscal'!$B$5+(H879*Controls!$B$56*Controls!$B$55)+('City Fiscal'!$B$9*B879*F879)</f>
        <v>148554.883533197</v>
      </c>
      <c r="K879" s="29" t="n">
        <f aca="false">J879-('City Fiscal'!$B$13*E879)</f>
        <v>24133.4394550109</v>
      </c>
      <c r="L879" s="30" t="n">
        <f aca="false">'Mobility &amp; Emissions'!$B$21*B879*F879</f>
        <v>86.5730297446308</v>
      </c>
    </row>
    <row r="880" customFormat="false" ht="15" hidden="false" customHeight="true" outlineLevel="0" collapsed="false">
      <c r="A880" s="14" t="n">
        <v>876</v>
      </c>
      <c r="B880" s="47" t="n">
        <v>0.823954521951672</v>
      </c>
      <c r="C880" s="47" t="n">
        <v>0.89999374975584</v>
      </c>
      <c r="D880" s="47" t="n">
        <v>1.00388772887156</v>
      </c>
      <c r="E880" s="47" t="n">
        <v>1.12196191972698</v>
      </c>
      <c r="F880" s="47" t="n">
        <v>1.0727827739426</v>
      </c>
      <c r="G880" s="27" t="n">
        <f aca="false">'Visitor Economics'!$B$5*B880</f>
        <v>26531.3356068438</v>
      </c>
      <c r="H880" s="29" t="n">
        <f aca="false">MAX(0,'Visitor Economics'!$B$18*B880*C880*D880)</f>
        <v>538669.703467929</v>
      </c>
      <c r="I880" s="29" t="n">
        <f aca="false">H880*Controls!$B$52</f>
        <v>764910.978924459</v>
      </c>
      <c r="J880" s="29" t="n">
        <f aca="false">'City Fiscal'!$B$5+(H880*Controls!$B$56*Controls!$B$55)+('City Fiscal'!$B$9*B880*F880)</f>
        <v>142238.477298417</v>
      </c>
      <c r="K880" s="29" t="n">
        <f aca="false">J880-('City Fiscal'!$B$13*E880)</f>
        <v>18822.6661284496</v>
      </c>
      <c r="L880" s="30" t="n">
        <f aca="false">'Mobility &amp; Emissions'!$B$21*B880*F880</f>
        <v>82.4981499055517</v>
      </c>
    </row>
    <row r="881" customFormat="false" ht="15" hidden="false" customHeight="true" outlineLevel="0" collapsed="false">
      <c r="A881" s="14" t="n">
        <v>877</v>
      </c>
      <c r="B881" s="47" t="n">
        <v>0.949771800535682</v>
      </c>
      <c r="C881" s="47" t="n">
        <v>0.953794618725867</v>
      </c>
      <c r="D881" s="47" t="n">
        <v>1.02172111354749</v>
      </c>
      <c r="E881" s="47" t="n">
        <v>1.07056686482146</v>
      </c>
      <c r="F881" s="47" t="n">
        <v>0.915211195357852</v>
      </c>
      <c r="G881" s="27" t="n">
        <f aca="false">'Visitor Economics'!$B$5*B881</f>
        <v>30582.651977249</v>
      </c>
      <c r="H881" s="29" t="n">
        <f aca="false">MAX(0,'Visitor Economics'!$B$18*B881*C881*D881)</f>
        <v>669732.1945715</v>
      </c>
      <c r="I881" s="29" t="n">
        <f aca="false">H881*Controls!$B$52</f>
        <v>951019.716291531</v>
      </c>
      <c r="J881" s="29" t="n">
        <f aca="false">'City Fiscal'!$B$5+(H881*Controls!$B$56*Controls!$B$55)+('City Fiscal'!$B$9*B881*F881)</f>
        <v>141530.561773542</v>
      </c>
      <c r="K881" s="29" t="n">
        <f aca="false">J881-('City Fiscal'!$B$13*E881)</f>
        <v>23768.2066431815</v>
      </c>
      <c r="L881" s="30" t="n">
        <f aca="false">'Mobility &amp; Emissions'!$B$21*B881*F881</f>
        <v>81.1278134943925</v>
      </c>
    </row>
    <row r="882" customFormat="false" ht="15" hidden="false" customHeight="true" outlineLevel="0" collapsed="false">
      <c r="A882" s="14" t="n">
        <v>878</v>
      </c>
      <c r="B882" s="47" t="n">
        <v>0.948417879327307</v>
      </c>
      <c r="C882" s="47" t="n">
        <v>0.938148212005091</v>
      </c>
      <c r="D882" s="47" t="n">
        <v>1.11055018823964</v>
      </c>
      <c r="E882" s="47" t="n">
        <v>0.974274106706213</v>
      </c>
      <c r="F882" s="47" t="n">
        <v>0.926925288429749</v>
      </c>
      <c r="G882" s="27" t="n">
        <f aca="false">'Visitor Economics'!$B$5*B882</f>
        <v>30539.0557143393</v>
      </c>
      <c r="H882" s="29" t="n">
        <f aca="false">MAX(0,'Visitor Economics'!$B$18*B882*C882*D882)</f>
        <v>714996.716550146</v>
      </c>
      <c r="I882" s="29" t="n">
        <f aca="false">H882*Controls!$B$52</f>
        <v>1015295.33750121</v>
      </c>
      <c r="J882" s="29" t="n">
        <f aca="false">'City Fiscal'!$B$5+(H882*Controls!$B$56*Controls!$B$55)+('City Fiscal'!$B$9*B882*F882)</f>
        <v>142870.753316404</v>
      </c>
      <c r="K882" s="29" t="n">
        <f aca="false">J882-('City Fiscal'!$B$13*E882)</f>
        <v>35700.6015787208</v>
      </c>
      <c r="L882" s="30" t="n">
        <f aca="false">'Mobility &amp; Emissions'!$B$21*B882*F882</f>
        <v>82.0490656419802</v>
      </c>
    </row>
    <row r="883" customFormat="false" ht="15" hidden="false" customHeight="true" outlineLevel="0" collapsed="false">
      <c r="A883" s="14" t="n">
        <v>879</v>
      </c>
      <c r="B883" s="47" t="n">
        <v>0.962763647914983</v>
      </c>
      <c r="C883" s="47" t="n">
        <v>0.951965904687537</v>
      </c>
      <c r="D883" s="47" t="n">
        <v>0.985269335264671</v>
      </c>
      <c r="E883" s="47" t="n">
        <v>0.953858507387465</v>
      </c>
      <c r="F883" s="47" t="n">
        <v>1.06215069721392</v>
      </c>
      <c r="G883" s="27" t="n">
        <f aca="false">'Visitor Economics'!$B$5*B883</f>
        <v>31000.9894628625</v>
      </c>
      <c r="H883" s="29" t="n">
        <f aca="false">MAX(0,'Visitor Economics'!$B$18*B883*C883*D883)</f>
        <v>653417.428010155</v>
      </c>
      <c r="I883" s="29" t="n">
        <f aca="false">H883*Controls!$B$52</f>
        <v>927852.74777442</v>
      </c>
      <c r="J883" s="29" t="n">
        <f aca="false">'City Fiscal'!$B$5+(H883*Controls!$B$56*Controls!$B$55)+('City Fiscal'!$B$9*B883*F883)</f>
        <v>157689.831156021</v>
      </c>
      <c r="K883" s="29" t="n">
        <f aca="false">J883-('City Fiscal'!$B$13*E883)</f>
        <v>52765.3953434002</v>
      </c>
      <c r="L883" s="30" t="n">
        <f aca="false">'Mobility &amp; Emissions'!$B$21*B883*F883</f>
        <v>95.4410038758137</v>
      </c>
    </row>
    <row r="884" customFormat="false" ht="15" hidden="false" customHeight="true" outlineLevel="0" collapsed="false">
      <c r="A884" s="14" t="n">
        <v>880</v>
      </c>
      <c r="B884" s="47" t="n">
        <v>0.885697682093791</v>
      </c>
      <c r="C884" s="47" t="n">
        <v>0.889907081186386</v>
      </c>
      <c r="D884" s="47" t="n">
        <v>1.1827411715832</v>
      </c>
      <c r="E884" s="47" t="n">
        <v>1.07450427355631</v>
      </c>
      <c r="F884" s="47" t="n">
        <v>0.993012237238636</v>
      </c>
      <c r="G884" s="27" t="n">
        <f aca="false">'Visitor Economics'!$B$5*B884</f>
        <v>28519.4653634201</v>
      </c>
      <c r="H884" s="29" t="n">
        <f aca="false">MAX(0,'Visitor Economics'!$B$18*B884*C884*D884)</f>
        <v>674550.634665008</v>
      </c>
      <c r="I884" s="29" t="n">
        <f aca="false">H884*Controls!$B$52</f>
        <v>957861.901224311</v>
      </c>
      <c r="J884" s="29" t="n">
        <f aca="false">'City Fiscal'!$B$5+(H884*Controls!$B$56*Controls!$B$55)+('City Fiscal'!$B$9*B884*F884)</f>
        <v>142650.674747223</v>
      </c>
      <c r="K884" s="29" t="n">
        <f aca="false">J884-('City Fiscal'!$B$13*E884)</f>
        <v>24455.2046560291</v>
      </c>
      <c r="L884" s="30" t="n">
        <f aca="false">'Mobility &amp; Emissions'!$B$21*B884*F884</f>
        <v>82.0860362384426</v>
      </c>
    </row>
    <row r="885" customFormat="false" ht="15" hidden="false" customHeight="true" outlineLevel="0" collapsed="false">
      <c r="A885" s="14" t="n">
        <v>881</v>
      </c>
      <c r="B885" s="47" t="n">
        <v>0.935359584122005</v>
      </c>
      <c r="C885" s="47" t="n">
        <v>0.978546523140686</v>
      </c>
      <c r="D885" s="47" t="n">
        <v>0.961189127709143</v>
      </c>
      <c r="E885" s="47" t="n">
        <v>0.958965103533225</v>
      </c>
      <c r="F885" s="47" t="n">
        <v>1.02657998541566</v>
      </c>
      <c r="G885" s="27" t="n">
        <f aca="false">'Visitor Economics'!$B$5*B885</f>
        <v>30118.5786087286</v>
      </c>
      <c r="H885" s="29" t="n">
        <f aca="false">MAX(0,'Visitor Economics'!$B$18*B885*C885*D885)</f>
        <v>636595.549453086</v>
      </c>
      <c r="I885" s="29" t="n">
        <f aca="false">H885*Controls!$B$52</f>
        <v>903965.680223382</v>
      </c>
      <c r="J885" s="29" t="n">
        <f aca="false">'City Fiscal'!$B$5+(H885*Controls!$B$56*Controls!$B$55)+('City Fiscal'!$B$9*B885*F885)</f>
        <v>150965.023561359</v>
      </c>
      <c r="K885" s="29" t="n">
        <f aca="false">J885-('City Fiscal'!$B$13*E885)</f>
        <v>45478.8621727044</v>
      </c>
      <c r="L885" s="30" t="n">
        <f aca="false">'Mobility &amp; Emissions'!$B$21*B885*F885</f>
        <v>89.6190982727947</v>
      </c>
    </row>
    <row r="886" customFormat="false" ht="15" hidden="false" customHeight="true" outlineLevel="0" collapsed="false">
      <c r="A886" s="14" t="n">
        <v>882</v>
      </c>
      <c r="B886" s="47" t="n">
        <v>0.866851597567345</v>
      </c>
      <c r="C886" s="47" t="n">
        <v>0.865</v>
      </c>
      <c r="D886" s="47" t="n">
        <v>0.962893138198239</v>
      </c>
      <c r="E886" s="47" t="n">
        <v>1.03713560654727</v>
      </c>
      <c r="F886" s="47" t="n">
        <v>1.08175412100354</v>
      </c>
      <c r="G886" s="27" t="n">
        <f aca="false">'Visitor Economics'!$B$5*B886</f>
        <v>27912.6214416685</v>
      </c>
      <c r="H886" s="29" t="n">
        <f aca="false">MAX(0,'Visitor Economics'!$B$18*B886*C886*D886)</f>
        <v>522436.634107693</v>
      </c>
      <c r="I886" s="29" t="n">
        <f aca="false">H886*Controls!$B$52</f>
        <v>741860.020432924</v>
      </c>
      <c r="J886" s="29" t="n">
        <f aca="false">'City Fiscal'!$B$5+(H886*Controls!$B$56*Controls!$B$55)+('City Fiscal'!$B$9*B886*F886)</f>
        <v>147838.830980436</v>
      </c>
      <c r="K886" s="29" t="n">
        <f aca="false">J886-('City Fiscal'!$B$13*E886)</f>
        <v>33753.9142602359</v>
      </c>
      <c r="L886" s="30" t="n">
        <f aca="false">'Mobility &amp; Emissions'!$B$21*B886*F886</f>
        <v>87.5190286004476</v>
      </c>
    </row>
    <row r="887" customFormat="false" ht="15" hidden="false" customHeight="true" outlineLevel="0" collapsed="false">
      <c r="A887" s="14" t="n">
        <v>883</v>
      </c>
      <c r="B887" s="47" t="n">
        <v>0.918451435528853</v>
      </c>
      <c r="C887" s="47" t="n">
        <v>0.99443910112128</v>
      </c>
      <c r="D887" s="47" t="n">
        <v>0.84629102503356</v>
      </c>
      <c r="E887" s="47" t="n">
        <v>1.01141825300329</v>
      </c>
      <c r="F887" s="47" t="n">
        <v>0.904703747586431</v>
      </c>
      <c r="G887" s="27" t="n">
        <f aca="false">'Visitor Economics'!$B$5*B887</f>
        <v>29574.1362240291</v>
      </c>
      <c r="H887" s="29" t="n">
        <f aca="false">MAX(0,'Visitor Economics'!$B$18*B887*C887*D887)</f>
        <v>559305.119220254</v>
      </c>
      <c r="I887" s="29" t="n">
        <f aca="false">H887*Controls!$B$52</f>
        <v>794213.269292761</v>
      </c>
      <c r="J887" s="29" t="n">
        <f aca="false">'City Fiscal'!$B$5+(H887*Controls!$B$56*Controls!$B$55)+('City Fiscal'!$B$9*B887*F887)</f>
        <v>136751.318405923</v>
      </c>
      <c r="K887" s="29" t="n">
        <f aca="false">J887-('City Fiscal'!$B$13*E887)</f>
        <v>25495.3105755613</v>
      </c>
      <c r="L887" s="30" t="n">
        <f aca="false">'Mobility &amp; Emissions'!$B$21*B887*F887</f>
        <v>77.5517786853708</v>
      </c>
    </row>
    <row r="888" customFormat="false" ht="15" hidden="false" customHeight="true" outlineLevel="0" collapsed="false">
      <c r="A888" s="14" t="n">
        <v>884</v>
      </c>
      <c r="B888" s="47" t="n">
        <v>0.935785986914291</v>
      </c>
      <c r="C888" s="47" t="n">
        <v>1.03070274360318</v>
      </c>
      <c r="D888" s="47" t="n">
        <v>0.925414235891814</v>
      </c>
      <c r="E888" s="47" t="n">
        <v>0.999331257732722</v>
      </c>
      <c r="F888" s="47" t="n">
        <v>0.881819805153395</v>
      </c>
      <c r="G888" s="27" t="n">
        <f aca="false">'Visitor Economics'!$B$5*B888</f>
        <v>30132.3087786402</v>
      </c>
      <c r="H888" s="29" t="n">
        <f aca="false">MAX(0,'Visitor Economics'!$B$18*B888*C888*D888)</f>
        <v>645863.609280006</v>
      </c>
      <c r="I888" s="29" t="n">
        <f aca="false">H888*Controls!$B$52</f>
        <v>917126.325177609</v>
      </c>
      <c r="J888" s="29" t="n">
        <f aca="false">'City Fiscal'!$B$5+(H888*Controls!$B$56*Controls!$B$55)+('City Fiscal'!$B$9*B888*F888)</f>
        <v>136704.305736342</v>
      </c>
      <c r="K888" s="29" t="n">
        <f aca="false">J888-('City Fiscal'!$B$13*E888)</f>
        <v>26777.867385743</v>
      </c>
      <c r="L888" s="30" t="n">
        <f aca="false">'Mobility &amp; Emissions'!$B$21*B888*F888</f>
        <v>77.016816402423</v>
      </c>
    </row>
    <row r="889" customFormat="false" ht="15" hidden="false" customHeight="true" outlineLevel="0" collapsed="false">
      <c r="A889" s="14" t="n">
        <v>885</v>
      </c>
      <c r="B889" s="47" t="n">
        <v>0.929071456626646</v>
      </c>
      <c r="C889" s="47" t="n">
        <v>1.06105935188684</v>
      </c>
      <c r="D889" s="47" t="n">
        <v>1.10078120091624</v>
      </c>
      <c r="E889" s="47" t="n">
        <v>1.1623287390304</v>
      </c>
      <c r="F889" s="47" t="n">
        <v>1.11356512659553</v>
      </c>
      <c r="G889" s="27" t="n">
        <f aca="false">'Visitor Economics'!$B$5*B889</f>
        <v>29916.100903378</v>
      </c>
      <c r="H889" s="29" t="n">
        <f aca="false">MAX(0,'Visitor Economics'!$B$18*B889*C889*D889)</f>
        <v>785207.553609693</v>
      </c>
      <c r="I889" s="29" t="n">
        <f aca="false">H889*Controls!$B$52</f>
        <v>1114994.72612576</v>
      </c>
      <c r="J889" s="29" t="n">
        <f aca="false">'City Fiscal'!$B$5+(H889*Controls!$B$56*Controls!$B$55)+('City Fiscal'!$B$9*B889*F889)</f>
        <v>159814.573481639</v>
      </c>
      <c r="K889" s="29" t="n">
        <f aca="false">J889-('City Fiscal'!$B$13*E889)</f>
        <v>31958.4121882949</v>
      </c>
      <c r="L889" s="30" t="n">
        <f aca="false">'Mobility &amp; Emissions'!$B$21*B889*F889</f>
        <v>96.5592571101383</v>
      </c>
    </row>
    <row r="890" customFormat="false" ht="15" hidden="false" customHeight="true" outlineLevel="0" collapsed="false">
      <c r="A890" s="14" t="n">
        <v>886</v>
      </c>
      <c r="B890" s="47" t="n">
        <v>0.876386721077128</v>
      </c>
      <c r="C890" s="47" t="n">
        <v>0.968885862324131</v>
      </c>
      <c r="D890" s="47" t="n">
        <v>1.16028517402347</v>
      </c>
      <c r="E890" s="47" t="n">
        <v>0.898934783207405</v>
      </c>
      <c r="F890" s="47" t="n">
        <v>1.06318122322907</v>
      </c>
      <c r="G890" s="27" t="n">
        <f aca="false">'Visitor Economics'!$B$5*B890</f>
        <v>28219.6524186835</v>
      </c>
      <c r="H890" s="29" t="n">
        <f aca="false">MAX(0,'Visitor Economics'!$B$18*B890*C890*D890)</f>
        <v>712898.695310493</v>
      </c>
      <c r="I890" s="29" t="n">
        <f aca="false">H890*Controls!$B$52</f>
        <v>1012316.1473409</v>
      </c>
      <c r="J890" s="29" t="n">
        <f aca="false">'City Fiscal'!$B$5+(H890*Controls!$B$56*Controls!$B$55)+('City Fiscal'!$B$9*B890*F890)</f>
        <v>148440.662373066</v>
      </c>
      <c r="K890" s="29" t="n">
        <f aca="false">J890-('City Fiscal'!$B$13*E890)</f>
        <v>49557.8362202514</v>
      </c>
      <c r="L890" s="30" t="n">
        <f aca="false">'Mobility &amp; Emissions'!$B$21*B890*F890</f>
        <v>86.9625493681595</v>
      </c>
    </row>
    <row r="891" customFormat="false" ht="15" hidden="false" customHeight="true" outlineLevel="0" collapsed="false">
      <c r="A891" s="14" t="n">
        <v>887</v>
      </c>
      <c r="B891" s="47" t="n">
        <v>0.894252352273378</v>
      </c>
      <c r="C891" s="47" t="n">
        <v>1.01241747353775</v>
      </c>
      <c r="D891" s="47" t="n">
        <v>0.926123577837391</v>
      </c>
      <c r="E891" s="47" t="n">
        <v>0.997378409058149</v>
      </c>
      <c r="F891" s="47" t="n">
        <v>0.95930462021342</v>
      </c>
      <c r="G891" s="27" t="n">
        <f aca="false">'Visitor Economics'!$B$5*B891</f>
        <v>28794.9257432028</v>
      </c>
      <c r="H891" s="29" t="n">
        <f aca="false">MAX(0,'Visitor Economics'!$B$18*B891*C891*D891)</f>
        <v>606713.046310541</v>
      </c>
      <c r="I891" s="29" t="n">
        <f aca="false">H891*Controls!$B$52</f>
        <v>861532.525760968</v>
      </c>
      <c r="J891" s="29" t="n">
        <f aca="false">'City Fiscal'!$B$5+(H891*Controls!$B$56*Controls!$B$55)+('City Fiscal'!$B$9*B891*F891)</f>
        <v>139915.103635659</v>
      </c>
      <c r="K891" s="29" t="n">
        <f aca="false">J891-('City Fiscal'!$B$13*E891)</f>
        <v>30203.4786392623</v>
      </c>
      <c r="L891" s="30" t="n">
        <f aca="false">'Mobility &amp; Emissions'!$B$21*B891*F891</f>
        <v>80.0655707240984</v>
      </c>
    </row>
    <row r="892" customFormat="false" ht="15" hidden="false" customHeight="true" outlineLevel="0" collapsed="false">
      <c r="A892" s="14" t="n">
        <v>888</v>
      </c>
      <c r="B892" s="47" t="n">
        <v>0.90613326286115</v>
      </c>
      <c r="C892" s="47" t="n">
        <v>1.07864785374373</v>
      </c>
      <c r="D892" s="47" t="n">
        <v>0.956271665335073</v>
      </c>
      <c r="E892" s="47" t="n">
        <v>1.18736015644975</v>
      </c>
      <c r="F892" s="47" t="n">
        <v>1.01591980011948</v>
      </c>
      <c r="G892" s="27" t="n">
        <f aca="false">'Visitor Economics'!$B$5*B892</f>
        <v>29177.491064129</v>
      </c>
      <c r="H892" s="29" t="n">
        <f aca="false">MAX(0,'Visitor Economics'!$B$18*B892*C892*D892)</f>
        <v>676312.966476399</v>
      </c>
      <c r="I892" s="29" t="n">
        <f aca="false">H892*Controls!$B$52</f>
        <v>960364.412396487</v>
      </c>
      <c r="J892" s="29" t="n">
        <f aca="false">'City Fiscal'!$B$5+(H892*Controls!$B$56*Controls!$B$55)+('City Fiscal'!$B$9*B892*F892)</f>
        <v>147015.815516236</v>
      </c>
      <c r="K892" s="29" t="n">
        <f aca="false">J892-('City Fiscal'!$B$13*E892)</f>
        <v>16406.198306764</v>
      </c>
      <c r="L892" s="30" t="n">
        <f aca="false">'Mobility &amp; Emissions'!$B$21*B892*F892</f>
        <v>85.9173105942531</v>
      </c>
    </row>
    <row r="893" customFormat="false" ht="15" hidden="false" customHeight="true" outlineLevel="0" collapsed="false">
      <c r="A893" s="14" t="n">
        <v>889</v>
      </c>
      <c r="B893" s="47" t="n">
        <v>0.855019997334044</v>
      </c>
      <c r="C893" s="47" t="n">
        <v>0.985544555935857</v>
      </c>
      <c r="D893" s="47" t="n">
        <v>0.842269575235423</v>
      </c>
      <c r="E893" s="47" t="n">
        <v>0.965495360750781</v>
      </c>
      <c r="F893" s="47" t="n">
        <v>1.01525023191115</v>
      </c>
      <c r="G893" s="27" t="n">
        <f aca="false">'Visitor Economics'!$B$5*B893</f>
        <v>27531.6439141562</v>
      </c>
      <c r="H893" s="29" t="n">
        <f aca="false">MAX(0,'Visitor Economics'!$B$18*B893*C893*D893)</f>
        <v>513568.429137312</v>
      </c>
      <c r="I893" s="29" t="n">
        <f aca="false">H893*Controls!$B$52</f>
        <v>729267.169374984</v>
      </c>
      <c r="J893" s="29" t="n">
        <f aca="false">'City Fiscal'!$B$5+(H893*Controls!$B$56*Controls!$B$55)+('City Fiscal'!$B$9*B893*F893)</f>
        <v>140393.20246348</v>
      </c>
      <c r="K893" s="29" t="n">
        <f aca="false">J893-('City Fiscal'!$B$13*E893)</f>
        <v>34188.7127808939</v>
      </c>
      <c r="L893" s="30" t="n">
        <f aca="false">'Mobility &amp; Emissions'!$B$21*B893*F893</f>
        <v>81.0174455575496</v>
      </c>
    </row>
    <row r="894" customFormat="false" ht="15" hidden="false" customHeight="true" outlineLevel="0" collapsed="false">
      <c r="A894" s="14" t="n">
        <v>890</v>
      </c>
      <c r="B894" s="47" t="n">
        <v>1.00851087470692</v>
      </c>
      <c r="C894" s="47" t="n">
        <v>1.01791180283696</v>
      </c>
      <c r="D894" s="47" t="n">
        <v>1.19213161484887</v>
      </c>
      <c r="E894" s="47" t="n">
        <v>0.987503731301724</v>
      </c>
      <c r="F894" s="47" t="n">
        <v>0.912389903029256</v>
      </c>
      <c r="G894" s="27" t="n">
        <f aca="false">'Visitor Economics'!$B$5*B894</f>
        <v>32474.0501655628</v>
      </c>
      <c r="H894" s="29" t="n">
        <f aca="false">MAX(0,'Visitor Economics'!$B$18*B894*C894*D894)</f>
        <v>885542.910776776</v>
      </c>
      <c r="I894" s="29" t="n">
        <f aca="false">H894*Controls!$B$52</f>
        <v>1257470.93330302</v>
      </c>
      <c r="J894" s="29" t="n">
        <f aca="false">'City Fiscal'!$B$5+(H894*Controls!$B$56*Controls!$B$55)+('City Fiscal'!$B$9*B894*F894)</f>
        <v>148328.821929107</v>
      </c>
      <c r="K894" s="29" t="n">
        <f aca="false">J894-('City Fiscal'!$B$13*E894)</f>
        <v>39703.411485917</v>
      </c>
      <c r="L894" s="30" t="n">
        <f aca="false">'Mobility &amp; Emissions'!$B$21*B894*F894</f>
        <v>85.8796434032004</v>
      </c>
    </row>
    <row r="895" customFormat="false" ht="15" hidden="false" customHeight="true" outlineLevel="0" collapsed="false">
      <c r="A895" s="14" t="n">
        <v>891</v>
      </c>
      <c r="B895" s="47" t="n">
        <v>0.942</v>
      </c>
      <c r="C895" s="47" t="n">
        <v>0.970867491528162</v>
      </c>
      <c r="D895" s="47" t="n">
        <v>1.20465410713196</v>
      </c>
      <c r="E895" s="47" t="n">
        <v>1.11661615540104</v>
      </c>
      <c r="F895" s="47" t="n">
        <v>1.02639781555328</v>
      </c>
      <c r="G895" s="27" t="n">
        <f aca="false">'Visitor Economics'!$B$5*B895</f>
        <v>30332.4</v>
      </c>
      <c r="H895" s="29" t="n">
        <f aca="false">MAX(0,'Visitor Economics'!$B$18*B895*C895*D895)</f>
        <v>797201.114980134</v>
      </c>
      <c r="I895" s="29" t="n">
        <f aca="false">H895*Controls!$B$52</f>
        <v>1132025.58327179</v>
      </c>
      <c r="J895" s="29" t="n">
        <f aca="false">'City Fiscal'!$B$5+(H895*Controls!$B$56*Controls!$B$55)+('City Fiscal'!$B$9*B895*F895)</f>
        <v>152710.541324805</v>
      </c>
      <c r="K895" s="29" t="n">
        <f aca="false">J895-('City Fiscal'!$B$13*E895)</f>
        <v>29882.7642306902</v>
      </c>
      <c r="L895" s="30" t="n">
        <f aca="false">'Mobility &amp; Emissions'!$B$21*B895*F895</f>
        <v>90.2393167277654</v>
      </c>
    </row>
    <row r="896" customFormat="false" ht="15" hidden="false" customHeight="true" outlineLevel="0" collapsed="false">
      <c r="A896" s="14" t="n">
        <v>892</v>
      </c>
      <c r="B896" s="47" t="n">
        <v>0.915507933347092</v>
      </c>
      <c r="C896" s="47" t="n">
        <v>0.955</v>
      </c>
      <c r="D896" s="47" t="n">
        <v>1.07304308433972</v>
      </c>
      <c r="E896" s="47" t="n">
        <v>0.961449284197553</v>
      </c>
      <c r="F896" s="47" t="n">
        <v>1.02369679338988</v>
      </c>
      <c r="G896" s="27" t="n">
        <f aca="false">'Visitor Economics'!$B$5*B896</f>
        <v>29479.3554537764</v>
      </c>
      <c r="H896" s="29" t="n">
        <f aca="false">MAX(0,'Visitor Economics'!$B$18*B896*C896*D896)</f>
        <v>678855.456467038</v>
      </c>
      <c r="I896" s="29" t="n">
        <f aca="false">H896*Controls!$B$52</f>
        <v>963974.748183194</v>
      </c>
      <c r="J896" s="29" t="n">
        <f aca="false">'City Fiscal'!$B$5+(H896*Controls!$B$56*Controls!$B$55)+('City Fiscal'!$B$9*B896*F896)</f>
        <v>148797.512790062</v>
      </c>
      <c r="K896" s="29" t="n">
        <f aca="false">J896-('City Fiscal'!$B$13*E896)</f>
        <v>43038.0915283313</v>
      </c>
      <c r="L896" s="30" t="n">
        <f aca="false">'Mobility &amp; Emissions'!$B$21*B896*F896</f>
        <v>87.470705900297</v>
      </c>
    </row>
    <row r="897" customFormat="false" ht="15" hidden="false" customHeight="true" outlineLevel="0" collapsed="false">
      <c r="A897" s="14" t="n">
        <v>893</v>
      </c>
      <c r="B897" s="47" t="n">
        <v>0.856790624427726</v>
      </c>
      <c r="C897" s="47" t="n">
        <v>0.91424966843443</v>
      </c>
      <c r="D897" s="47" t="n">
        <v>1.19112513269654</v>
      </c>
      <c r="E897" s="47" t="n">
        <v>1.02750561804846</v>
      </c>
      <c r="F897" s="47" t="n">
        <v>1.09869210587054</v>
      </c>
      <c r="G897" s="27" t="n">
        <f aca="false">'Visitor Economics'!$B$5*B897</f>
        <v>27588.6581065728</v>
      </c>
      <c r="H897" s="29" t="n">
        <f aca="false">MAX(0,'Visitor Economics'!$B$18*B897*C897*D897)</f>
        <v>675136.479752174</v>
      </c>
      <c r="I897" s="29" t="n">
        <f aca="false">H897*Controls!$B$52</f>
        <v>958693.801248087</v>
      </c>
      <c r="J897" s="29" t="n">
        <f aca="false">'City Fiscal'!$B$5+(H897*Controls!$B$56*Controls!$B$55)+('City Fiscal'!$B$9*B897*F897)</f>
        <v>149213.19276507</v>
      </c>
      <c r="K897" s="29" t="n">
        <f aca="false">J897-('City Fiscal'!$B$13*E897)</f>
        <v>36187.5747797399</v>
      </c>
      <c r="L897" s="30" t="n">
        <f aca="false">'Mobility &amp; Emissions'!$B$21*B897*F897</f>
        <v>87.8577113711232</v>
      </c>
    </row>
    <row r="898" customFormat="false" ht="15" hidden="false" customHeight="true" outlineLevel="0" collapsed="false">
      <c r="A898" s="14" t="n">
        <v>894</v>
      </c>
      <c r="B898" s="47" t="n">
        <v>0.972883124042441</v>
      </c>
      <c r="C898" s="47" t="n">
        <v>1.05386377694485</v>
      </c>
      <c r="D898" s="47" t="n">
        <v>0.899669962814401</v>
      </c>
      <c r="E898" s="47" t="n">
        <v>1.0517797941682</v>
      </c>
      <c r="F898" s="47" t="n">
        <v>0.981024806811535</v>
      </c>
      <c r="G898" s="27" t="n">
        <f aca="false">'Visitor Economics'!$B$5*B898</f>
        <v>31326.8365941666</v>
      </c>
      <c r="H898" s="29" t="n">
        <f aca="false">MAX(0,'Visitor Economics'!$B$18*B898*C898*D898)</f>
        <v>667456.609347274</v>
      </c>
      <c r="I898" s="29" t="n">
        <f aca="false">H898*Controls!$B$52</f>
        <v>947788.385273129</v>
      </c>
      <c r="J898" s="29" t="n">
        <f aca="false">'City Fiscal'!$B$5+(H898*Controls!$B$56*Controls!$B$55)+('City Fiscal'!$B$9*B898*F898)</f>
        <v>150549.973903478</v>
      </c>
      <c r="K898" s="29" t="n">
        <f aca="false">J898-('City Fiscal'!$B$13*E898)</f>
        <v>34854.1965449761</v>
      </c>
      <c r="L898" s="30" t="n">
        <f aca="false">'Mobility &amp; Emissions'!$B$21*B898*F898</f>
        <v>89.0778724659189</v>
      </c>
    </row>
    <row r="899" customFormat="false" ht="15" hidden="false" customHeight="true" outlineLevel="0" collapsed="false">
      <c r="A899" s="14" t="n">
        <v>895</v>
      </c>
      <c r="B899" s="47" t="n">
        <v>0.924942122893471</v>
      </c>
      <c r="C899" s="47" t="n">
        <v>0.896190550595202</v>
      </c>
      <c r="D899" s="47" t="n">
        <v>1.10887505535874</v>
      </c>
      <c r="E899" s="47" t="n">
        <v>0.943325179910674</v>
      </c>
      <c r="F899" s="47" t="n">
        <v>0.985913575480892</v>
      </c>
      <c r="G899" s="27" t="n">
        <f aca="false">'Visitor Economics'!$B$5*B899</f>
        <v>29783.1363571698</v>
      </c>
      <c r="H899" s="29" t="n">
        <f aca="false">MAX(0,'Visitor Economics'!$B$18*B899*C899*D899)</f>
        <v>665108.046638441</v>
      </c>
      <c r="I899" s="29" t="n">
        <f aca="false">H899*Controls!$B$52</f>
        <v>944453.426226586</v>
      </c>
      <c r="J899" s="29" t="n">
        <f aca="false">'City Fiscal'!$B$5+(H899*Controls!$B$56*Controls!$B$55)+('City Fiscal'!$B$9*B899*F899)</f>
        <v>146026.25255315</v>
      </c>
      <c r="K899" s="29" t="n">
        <f aca="false">J899-('City Fiscal'!$B$13*E899)</f>
        <v>42260.4827629759</v>
      </c>
      <c r="L899" s="30" t="n">
        <f aca="false">'Mobility &amp; Emissions'!$B$21*B899*F899</f>
        <v>85.110390121621</v>
      </c>
    </row>
    <row r="900" customFormat="false" ht="15" hidden="false" customHeight="true" outlineLevel="0" collapsed="false">
      <c r="A900" s="14" t="n">
        <v>896</v>
      </c>
      <c r="B900" s="47" t="n">
        <v>0.829695070178037</v>
      </c>
      <c r="C900" s="47" t="n">
        <v>1.01376441274225</v>
      </c>
      <c r="D900" s="47" t="n">
        <v>0.918867202751406</v>
      </c>
      <c r="E900" s="47" t="n">
        <v>0.958127115368417</v>
      </c>
      <c r="F900" s="47" t="n">
        <v>1.0660803956158</v>
      </c>
      <c r="G900" s="27" t="n">
        <f aca="false">'Visitor Economics'!$B$5*B900</f>
        <v>26716.1812597328</v>
      </c>
      <c r="H900" s="29" t="n">
        <f aca="false">MAX(0,'Visitor Economics'!$B$18*B900*C900*D900)</f>
        <v>559246.109243099</v>
      </c>
      <c r="I900" s="29" t="n">
        <f aca="false">H900*Controls!$B$52</f>
        <v>794129.4751252</v>
      </c>
      <c r="J900" s="29" t="n">
        <f aca="false">'City Fiscal'!$B$5+(H900*Controls!$B$56*Controls!$B$55)+('City Fiscal'!$B$9*B900*F900)</f>
        <v>142435.175192277</v>
      </c>
      <c r="K900" s="29" t="n">
        <f aca="false">J900-('City Fiscal'!$B$13*E900)</f>
        <v>37041.1925017513</v>
      </c>
      <c r="L900" s="30" t="n">
        <f aca="false">'Mobility &amp; Emissions'!$B$21*B900*F900</f>
        <v>82.5539091558561</v>
      </c>
    </row>
    <row r="901" customFormat="false" ht="15" hidden="false" customHeight="true" outlineLevel="0" collapsed="false">
      <c r="A901" s="14" t="n">
        <v>897</v>
      </c>
      <c r="B901" s="47" t="n">
        <v>0.930133432245356</v>
      </c>
      <c r="C901" s="47" t="n">
        <v>0.953187837282539</v>
      </c>
      <c r="D901" s="47" t="n">
        <v>1.04619555942031</v>
      </c>
      <c r="E901" s="47" t="n">
        <v>0.928643913773391</v>
      </c>
      <c r="F901" s="47" t="n">
        <v>0.945459415460184</v>
      </c>
      <c r="G901" s="27" t="n">
        <f aca="false">'Visitor Economics'!$B$5*B901</f>
        <v>29950.2965183005</v>
      </c>
      <c r="H901" s="29" t="n">
        <f aca="false">MAX(0,'Visitor Economics'!$B$18*B901*C901*D901)</f>
        <v>671168.072201205</v>
      </c>
      <c r="I901" s="29" t="n">
        <f aca="false">H901*Controls!$B$52</f>
        <v>953058.662525712</v>
      </c>
      <c r="J901" s="29" t="n">
        <f aca="false">'City Fiscal'!$B$5+(H901*Controls!$B$56*Controls!$B$55)+('City Fiscal'!$B$9*B901*F901)</f>
        <v>142617.59564024</v>
      </c>
      <c r="K901" s="29" t="n">
        <f aca="false">J901-('City Fiscal'!$B$13*E901)</f>
        <v>40466.7651251668</v>
      </c>
      <c r="L901" s="30" t="n">
        <f aca="false">'Mobility &amp; Emissions'!$B$21*B901*F901</f>
        <v>82.0762153484909</v>
      </c>
    </row>
    <row r="902" customFormat="false" ht="15" hidden="false" customHeight="true" outlineLevel="0" collapsed="false">
      <c r="A902" s="14" t="n">
        <v>898</v>
      </c>
      <c r="B902" s="47" t="n">
        <v>0.935076505017751</v>
      </c>
      <c r="C902" s="47" t="n">
        <v>0.955797643573075</v>
      </c>
      <c r="D902" s="47" t="n">
        <v>1.00532419408532</v>
      </c>
      <c r="E902" s="47" t="n">
        <v>1.17705310150527</v>
      </c>
      <c r="F902" s="47" t="n">
        <v>1.12725137366785</v>
      </c>
      <c r="G902" s="27" t="n">
        <f aca="false">'Visitor Economics'!$B$5*B902</f>
        <v>30109.4634615716</v>
      </c>
      <c r="H902" s="29" t="n">
        <f aca="false">MAX(0,'Visitor Economics'!$B$18*B902*C902*D902)</f>
        <v>650150.505220796</v>
      </c>
      <c r="I902" s="29" t="n">
        <f aca="false">H902*Controls!$B$52</f>
        <v>923213.71741353</v>
      </c>
      <c r="J902" s="29" t="n">
        <f aca="false">'City Fiscal'!$B$5+(H902*Controls!$B$56*Controls!$B$55)+('City Fiscal'!$B$9*B902*F902)</f>
        <v>161005.926792647</v>
      </c>
      <c r="K902" s="29" t="n">
        <f aca="false">J902-('City Fiscal'!$B$13*E902)</f>
        <v>31530.0856270675</v>
      </c>
      <c r="L902" s="30" t="n">
        <f aca="false">'Mobility &amp; Emissions'!$B$21*B902*F902</f>
        <v>98.3777973365585</v>
      </c>
    </row>
    <row r="903" customFormat="false" ht="15" hidden="false" customHeight="true" outlineLevel="0" collapsed="false">
      <c r="A903" s="14" t="n">
        <v>899</v>
      </c>
      <c r="B903" s="47" t="n">
        <v>0.9933917306087</v>
      </c>
      <c r="C903" s="47" t="n">
        <v>1.11575735931288</v>
      </c>
      <c r="D903" s="47" t="n">
        <v>1.06620323724287</v>
      </c>
      <c r="E903" s="47" t="n">
        <v>0.907314947174009</v>
      </c>
      <c r="F903" s="47" t="n">
        <v>0.95118053172424</v>
      </c>
      <c r="G903" s="27" t="n">
        <f aca="false">'Visitor Economics'!$B$5*B903</f>
        <v>31987.2137256001</v>
      </c>
      <c r="H903" s="29" t="n">
        <f aca="false">MAX(0,'Visitor Economics'!$B$18*B903*C903*D903)</f>
        <v>855115.870629447</v>
      </c>
      <c r="I903" s="29" t="n">
        <f aca="false">H903*Controls!$B$52</f>
        <v>1214264.53629381</v>
      </c>
      <c r="J903" s="29" t="n">
        <f aca="false">'City Fiscal'!$B$5+(H903*Controls!$B$56*Controls!$B$55)+('City Fiscal'!$B$9*B903*F903)</f>
        <v>150755.520115827</v>
      </c>
      <c r="K903" s="29" t="n">
        <f aca="false">J903-('City Fiscal'!$B$13*E903)</f>
        <v>50950.8759266862</v>
      </c>
      <c r="L903" s="30" t="n">
        <f aca="false">'Mobility &amp; Emissions'!$B$21*B903*F903</f>
        <v>88.1886449612506</v>
      </c>
    </row>
    <row r="904" customFormat="false" ht="15" hidden="false" customHeight="true" outlineLevel="0" collapsed="false">
      <c r="A904" s="14" t="n">
        <v>900</v>
      </c>
      <c r="B904" s="47" t="n">
        <v>0.875862401388657</v>
      </c>
      <c r="C904" s="47" t="n">
        <v>0.958747972958166</v>
      </c>
      <c r="D904" s="47" t="n">
        <v>1.00174861531101</v>
      </c>
      <c r="E904" s="47" t="n">
        <v>0.912061392559531</v>
      </c>
      <c r="F904" s="47" t="n">
        <v>1.05501315880607</v>
      </c>
      <c r="G904" s="27" t="n">
        <f aca="false">'Visitor Economics'!$B$5*B904</f>
        <v>28202.7693247148</v>
      </c>
      <c r="H904" s="29" t="n">
        <f aca="false">MAX(0,'Visitor Economics'!$B$18*B904*C904*D904)</f>
        <v>608686.630307496</v>
      </c>
      <c r="I904" s="29" t="n">
        <f aca="false">H904*Controls!$B$52</f>
        <v>864335.015036644</v>
      </c>
      <c r="J904" s="29" t="n">
        <f aca="false">'City Fiscal'!$B$5+(H904*Controls!$B$56*Controls!$B$55)+('City Fiscal'!$B$9*B904*F904)</f>
        <v>146947.491117433</v>
      </c>
      <c r="K904" s="29" t="n">
        <f aca="false">J904-('City Fiscal'!$B$13*E904)</f>
        <v>46620.7379358846</v>
      </c>
      <c r="L904" s="30" t="n">
        <f aca="false">'Mobility &amp; Emissions'!$B$21*B904*F904</f>
        <v>86.2428175426756</v>
      </c>
    </row>
    <row r="905" customFormat="false" ht="15" hidden="false" customHeight="true" outlineLevel="0" collapsed="false">
      <c r="A905" s="14" t="n">
        <v>901</v>
      </c>
      <c r="B905" s="47" t="n">
        <v>0.933259006231194</v>
      </c>
      <c r="C905" s="47" t="n">
        <v>1.06387513919839</v>
      </c>
      <c r="D905" s="47" t="n">
        <v>1.06272012921833</v>
      </c>
      <c r="E905" s="47" t="n">
        <v>0.939175920386628</v>
      </c>
      <c r="F905" s="47" t="n">
        <v>1.06797866131305</v>
      </c>
      <c r="G905" s="27" t="n">
        <f aca="false">'Visitor Economics'!$B$5*B905</f>
        <v>30050.9400006444</v>
      </c>
      <c r="H905" s="29" t="n">
        <f aca="false">MAX(0,'Visitor Economics'!$B$18*B905*C905*D905)</f>
        <v>763495.402671688</v>
      </c>
      <c r="I905" s="29" t="n">
        <f aca="false">H905*Controls!$B$52</f>
        <v>1084163.4717938</v>
      </c>
      <c r="J905" s="29" t="n">
        <f aca="false">'City Fiscal'!$B$5+(H905*Controls!$B$56*Controls!$B$55)+('City Fiscal'!$B$9*B905*F905)</f>
        <v>155656.281013793</v>
      </c>
      <c r="K905" s="29" t="n">
        <f aca="false">J905-('City Fiscal'!$B$13*E905)</f>
        <v>52346.9297712639</v>
      </c>
      <c r="L905" s="30" t="n">
        <f aca="false">'Mobility &amp; Emissions'!$B$21*B905*F905</f>
        <v>93.0237711079428</v>
      </c>
    </row>
    <row r="906" customFormat="false" ht="15" hidden="false" customHeight="true" outlineLevel="0" collapsed="false">
      <c r="A906" s="14" t="n">
        <v>902</v>
      </c>
      <c r="B906" s="47" t="n">
        <v>0.864895229547955</v>
      </c>
      <c r="C906" s="47" t="n">
        <v>1.06962143312876</v>
      </c>
      <c r="D906" s="47" t="n">
        <v>1.09574777149098</v>
      </c>
      <c r="E906" s="47" t="n">
        <v>1.11303741386787</v>
      </c>
      <c r="F906" s="47" t="n">
        <v>1.13044239278439</v>
      </c>
      <c r="G906" s="27" t="n">
        <f aca="false">'Visitor Economics'!$B$5*B906</f>
        <v>27849.6263914441</v>
      </c>
      <c r="H906" s="29" t="n">
        <f aca="false">MAX(0,'Visitor Economics'!$B$18*B906*C906*D906)</f>
        <v>733497.881916977</v>
      </c>
      <c r="I906" s="29" t="n">
        <f aca="false">H906*Controls!$B$52</f>
        <v>1041566.99232211</v>
      </c>
      <c r="J906" s="29" t="n">
        <f aca="false">'City Fiscal'!$B$5+(H906*Controls!$B$56*Controls!$B$55)+('City Fiscal'!$B$9*B906*F906)</f>
        <v>153448.215662586</v>
      </c>
      <c r="K906" s="29" t="n">
        <f aca="false">J906-('City Fiscal'!$B$13*E906)</f>
        <v>31014.1001371206</v>
      </c>
      <c r="L906" s="30" t="n">
        <f aca="false">'Mobility &amp; Emissions'!$B$21*B906*F906</f>
        <v>91.2517314612326</v>
      </c>
    </row>
    <row r="907" customFormat="false" ht="15" hidden="false" customHeight="true" outlineLevel="0" collapsed="false">
      <c r="A907" s="14" t="n">
        <v>903</v>
      </c>
      <c r="B907" s="47" t="n">
        <v>0.890515157331472</v>
      </c>
      <c r="C907" s="47" t="n">
        <v>0.984890873003936</v>
      </c>
      <c r="D907" s="47" t="n">
        <v>1.11746226952298</v>
      </c>
      <c r="E907" s="47" t="n">
        <v>1.00475267585558</v>
      </c>
      <c r="F907" s="47" t="n">
        <v>0.873717082451263</v>
      </c>
      <c r="G907" s="27" t="n">
        <f aca="false">'Visitor Economics'!$B$5*B907</f>
        <v>28674.5880660734</v>
      </c>
      <c r="H907" s="29" t="n">
        <f aca="false">MAX(0,'Visitor Economics'!$B$18*B907*C907*D907)</f>
        <v>709180.795874362</v>
      </c>
      <c r="I907" s="29" t="n">
        <f aca="false">H907*Controls!$B$52</f>
        <v>1007036.73014159</v>
      </c>
      <c r="J907" s="29" t="n">
        <f aca="false">'City Fiscal'!$B$5+(H907*Controls!$B$56*Controls!$B$55)+('City Fiscal'!$B$9*B907*F907)</f>
        <v>132115.382827775</v>
      </c>
      <c r="K907" s="29" t="n">
        <f aca="false">J907-('City Fiscal'!$B$13*E907)</f>
        <v>21592.588483661</v>
      </c>
      <c r="L907" s="30" t="n">
        <f aca="false">'Mobility &amp; Emissions'!$B$21*B907*F907</f>
        <v>72.6175043180479</v>
      </c>
    </row>
    <row r="908" customFormat="false" ht="15" hidden="false" customHeight="true" outlineLevel="0" collapsed="false">
      <c r="A908" s="14" t="n">
        <v>904</v>
      </c>
      <c r="B908" s="47" t="n">
        <v>0.892921211470653</v>
      </c>
      <c r="C908" s="47" t="n">
        <v>1.04257907259662</v>
      </c>
      <c r="D908" s="47" t="n">
        <v>0.916236191960874</v>
      </c>
      <c r="E908" s="47" t="n">
        <v>1.06759591561591</v>
      </c>
      <c r="F908" s="47" t="n">
        <v>0.924849849699248</v>
      </c>
      <c r="G908" s="27" t="n">
        <f aca="false">'Visitor Economics'!$B$5*B908</f>
        <v>28752.063009355</v>
      </c>
      <c r="H908" s="29" t="n">
        <f aca="false">MAX(0,'Visitor Economics'!$B$18*B908*C908*D908)</f>
        <v>617197.637908235</v>
      </c>
      <c r="I908" s="29" t="n">
        <f aca="false">H908*Controls!$B$52</f>
        <v>876420.645829694</v>
      </c>
      <c r="J908" s="29" t="n">
        <f aca="false">'City Fiscal'!$B$5+(H908*Controls!$B$56*Controls!$B$55)+('City Fiscal'!$B$9*B908*F908)</f>
        <v>136584.6706155</v>
      </c>
      <c r="K908" s="29" t="n">
        <f aca="false">J908-('City Fiscal'!$B$13*E908)</f>
        <v>19149.1198977501</v>
      </c>
      <c r="L908" s="30" t="n">
        <f aca="false">'Mobility &amp; Emissions'!$B$21*B908*F908</f>
        <v>77.0750023312323</v>
      </c>
    </row>
    <row r="909" customFormat="false" ht="15" hidden="false" customHeight="true" outlineLevel="0" collapsed="false">
      <c r="A909" s="14" t="n">
        <v>905</v>
      </c>
      <c r="B909" s="47" t="n">
        <v>0.854795721802788</v>
      </c>
      <c r="C909" s="47" t="n">
        <v>1.00783048542496</v>
      </c>
      <c r="D909" s="47" t="n">
        <v>1.0496846236556</v>
      </c>
      <c r="E909" s="47" t="n">
        <v>1.07481081654394</v>
      </c>
      <c r="F909" s="47" t="n">
        <v>0.930358571415873</v>
      </c>
      <c r="G909" s="27" t="n">
        <f aca="false">'Visitor Economics'!$B$5*B909</f>
        <v>27524.4222420498</v>
      </c>
      <c r="H909" s="29" t="n">
        <f aca="false">MAX(0,'Visitor Economics'!$B$18*B909*C909*D909)</f>
        <v>654339.79849688</v>
      </c>
      <c r="I909" s="29" t="n">
        <f aca="false">H909*Controls!$B$52</f>
        <v>929162.51386557</v>
      </c>
      <c r="J909" s="29" t="n">
        <f aca="false">'City Fiscal'!$B$5+(H909*Controls!$B$56*Controls!$B$55)+('City Fiscal'!$B$9*B909*F909)</f>
        <v>133585.095621114</v>
      </c>
      <c r="K909" s="29" t="n">
        <f aca="false">J909-('City Fiscal'!$B$13*E909)</f>
        <v>15355.9058012807</v>
      </c>
      <c r="L909" s="30" t="n">
        <f aca="false">'Mobility &amp; Emissions'!$B$21*B909*F909</f>
        <v>74.2235768796318</v>
      </c>
    </row>
    <row r="910" customFormat="false" ht="15" hidden="false" customHeight="true" outlineLevel="0" collapsed="false">
      <c r="A910" s="14" t="n">
        <v>906</v>
      </c>
      <c r="B910" s="47" t="n">
        <v>0.892024997210444</v>
      </c>
      <c r="C910" s="47" t="n">
        <v>0.97527717153529</v>
      </c>
      <c r="D910" s="47" t="n">
        <v>1.11012952420185</v>
      </c>
      <c r="E910" s="47" t="n">
        <v>1.1158126309968</v>
      </c>
      <c r="F910" s="47" t="n">
        <v>1.05814413464563</v>
      </c>
      <c r="G910" s="27" t="n">
        <f aca="false">'Visitor Economics'!$B$5*B910</f>
        <v>28723.2049101763</v>
      </c>
      <c r="H910" s="29" t="n">
        <f aca="false">MAX(0,'Visitor Economics'!$B$18*B910*C910*D910)</f>
        <v>698833.001933339</v>
      </c>
      <c r="I910" s="29" t="n">
        <f aca="false">H910*Controls!$B$52</f>
        <v>992342.862745341</v>
      </c>
      <c r="J910" s="29" t="n">
        <f aca="false">'City Fiscal'!$B$5+(H910*Controls!$B$56*Controls!$B$55)+('City Fiscal'!$B$9*B910*F910)</f>
        <v>149636.339437965</v>
      </c>
      <c r="K910" s="29" t="n">
        <f aca="false">J910-('City Fiscal'!$B$13*E910)</f>
        <v>26896.9500283166</v>
      </c>
      <c r="L910" s="30" t="n">
        <f aca="false">'Mobility &amp; Emissions'!$B$21*B910*F910</f>
        <v>88.0949533951842</v>
      </c>
    </row>
    <row r="911" customFormat="false" ht="15" hidden="false" customHeight="true" outlineLevel="0" collapsed="false">
      <c r="A911" s="14" t="n">
        <v>907</v>
      </c>
      <c r="B911" s="47" t="n">
        <v>0.960906853189223</v>
      </c>
      <c r="C911" s="47" t="n">
        <v>0.999924984368486</v>
      </c>
      <c r="D911" s="47" t="n">
        <v>0.96928312127604</v>
      </c>
      <c r="E911" s="47" t="n">
        <v>1.0215459564814</v>
      </c>
      <c r="F911" s="47" t="n">
        <v>1.06087929533492</v>
      </c>
      <c r="G911" s="27" t="n">
        <f aca="false">'Visitor Economics'!$B$5*B911</f>
        <v>30941.200672693</v>
      </c>
      <c r="H911" s="29" t="n">
        <f aca="false">MAX(0,'Visitor Economics'!$B$18*B911*C911*D911)</f>
        <v>673897.787335154</v>
      </c>
      <c r="I911" s="29" t="n">
        <f aca="false">H911*Controls!$B$52</f>
        <v>956934.858015918</v>
      </c>
      <c r="J911" s="29" t="n">
        <f aca="false">'City Fiscal'!$B$5+(H911*Controls!$B$56*Controls!$B$55)+('City Fiscal'!$B$9*B911*F911)</f>
        <v>157483.803416469</v>
      </c>
      <c r="K911" s="29" t="n">
        <f aca="false">J911-('City Fiscal'!$B$13*E911)</f>
        <v>45113.7482035149</v>
      </c>
      <c r="L911" s="30" t="n">
        <f aca="false">'Mobility &amp; Emissions'!$B$21*B911*F911</f>
        <v>95.1429122639927</v>
      </c>
    </row>
    <row r="912" customFormat="false" ht="15" hidden="false" customHeight="true" outlineLevel="0" collapsed="false">
      <c r="A912" s="14" t="n">
        <v>908</v>
      </c>
      <c r="B912" s="47" t="n">
        <v>0.928413974865158</v>
      </c>
      <c r="C912" s="47" t="n">
        <v>0.920084963905674</v>
      </c>
      <c r="D912" s="47" t="n">
        <v>1.02249450556086</v>
      </c>
      <c r="E912" s="47" t="n">
        <v>1.15356997355595</v>
      </c>
      <c r="F912" s="47" t="n">
        <v>0.918574776703975</v>
      </c>
      <c r="G912" s="27" t="n">
        <f aca="false">'Visitor Economics'!$B$5*B912</f>
        <v>29894.9299906581</v>
      </c>
      <c r="H912" s="29" t="n">
        <f aca="false">MAX(0,'Visitor Economics'!$B$18*B912*C912*D912)</f>
        <v>632011.899208809</v>
      </c>
      <c r="I912" s="29" t="n">
        <f aca="false">H912*Controls!$B$52</f>
        <v>897456.896876509</v>
      </c>
      <c r="J912" s="29" t="n">
        <f aca="false">'City Fiscal'!$B$5+(H912*Controls!$B$56*Controls!$B$55)+('City Fiscal'!$B$9*B912*F912)</f>
        <v>139544.212067342</v>
      </c>
      <c r="K912" s="29" t="n">
        <f aca="false">J912-('City Fiscal'!$B$13*E912)</f>
        <v>12651.514976188</v>
      </c>
      <c r="L912" s="30" t="n">
        <f aca="false">'Mobility &amp; Emissions'!$B$21*B912*F912</f>
        <v>79.5949219652131</v>
      </c>
    </row>
    <row r="913" customFormat="false" ht="15" hidden="false" customHeight="true" outlineLevel="0" collapsed="false">
      <c r="A913" s="14" t="n">
        <v>909</v>
      </c>
      <c r="B913" s="47" t="n">
        <v>0.904928779710682</v>
      </c>
      <c r="C913" s="47" t="n">
        <v>0.943947569560682</v>
      </c>
      <c r="D913" s="47" t="n">
        <v>0.973069158593495</v>
      </c>
      <c r="E913" s="47" t="n">
        <v>0.970721265918251</v>
      </c>
      <c r="F913" s="47" t="n">
        <v>0.995970887508434</v>
      </c>
      <c r="G913" s="27" t="n">
        <f aca="false">'Visitor Economics'!$B$5*B913</f>
        <v>29138.706706684</v>
      </c>
      <c r="H913" s="29" t="n">
        <f aca="false">MAX(0,'Visitor Economics'!$B$18*B913*C913*D913)</f>
        <v>601451.552728345</v>
      </c>
      <c r="I913" s="29" t="n">
        <f aca="false">H913*Controls!$B$52</f>
        <v>854061.20487425</v>
      </c>
      <c r="J913" s="29" t="n">
        <f aca="false">'City Fiscal'!$B$5+(H913*Controls!$B$56*Controls!$B$55)+('City Fiscal'!$B$9*B913*F913)</f>
        <v>144486.324726671</v>
      </c>
      <c r="K913" s="29" t="n">
        <f aca="false">J913-('City Fiscal'!$B$13*E913)</f>
        <v>37706.9854756633</v>
      </c>
      <c r="L913" s="30" t="n">
        <f aca="false">'Mobility &amp; Emissions'!$B$21*B913*F913</f>
        <v>84.1182484251923</v>
      </c>
    </row>
    <row r="914" customFormat="false" ht="15" hidden="false" customHeight="true" outlineLevel="0" collapsed="false">
      <c r="A914" s="14" t="n">
        <v>910</v>
      </c>
      <c r="B914" s="47" t="n">
        <v>0.986954576716283</v>
      </c>
      <c r="C914" s="47" t="n">
        <v>0.976316985641356</v>
      </c>
      <c r="D914" s="47" t="n">
        <v>0.848590815711726</v>
      </c>
      <c r="E914" s="47" t="n">
        <v>1.02969055853187</v>
      </c>
      <c r="F914" s="47" t="n">
        <v>0.915897647909466</v>
      </c>
      <c r="G914" s="27" t="n">
        <f aca="false">'Visitor Economics'!$B$5*B914</f>
        <v>31779.9373702643</v>
      </c>
      <c r="H914" s="29" t="n">
        <f aca="false">MAX(0,'Visitor Economics'!$B$18*B914*C914*D914)</f>
        <v>591671.98586507</v>
      </c>
      <c r="I914" s="29" t="n">
        <f aca="false">H914*Controls!$B$52</f>
        <v>840174.219928399</v>
      </c>
      <c r="J914" s="29" t="n">
        <f aca="false">'City Fiscal'!$B$5+(H914*Controls!$B$56*Controls!$B$55)+('City Fiscal'!$B$9*B914*F914)</f>
        <v>144705.775287451</v>
      </c>
      <c r="K914" s="29" t="n">
        <f aca="false">J914-('City Fiscal'!$B$13*E914)</f>
        <v>31439.8138489453</v>
      </c>
      <c r="L914" s="30" t="n">
        <f aca="false">'Mobility &amp; Emissions'!$B$21*B914*F914</f>
        <v>84.36713192076</v>
      </c>
    </row>
    <row r="915" customFormat="false" ht="15" hidden="false" customHeight="true" outlineLevel="0" collapsed="false">
      <c r="A915" s="14" t="n">
        <v>911</v>
      </c>
      <c r="B915" s="47" t="n">
        <v>0.984503521301402</v>
      </c>
      <c r="C915" s="47" t="n">
        <v>1.01059250482714</v>
      </c>
      <c r="D915" s="47" t="n">
        <v>0.898802777745304</v>
      </c>
      <c r="E915" s="47" t="n">
        <v>0.967607926616425</v>
      </c>
      <c r="F915" s="47" t="n">
        <v>0.957226396003969</v>
      </c>
      <c r="G915" s="27" t="n">
        <f aca="false">'Visitor Economics'!$B$5*B915</f>
        <v>31701.0133859051</v>
      </c>
      <c r="H915" s="29" t="n">
        <f aca="false">MAX(0,'Visitor Economics'!$B$18*B915*C915*D915)</f>
        <v>647071.723982948</v>
      </c>
      <c r="I915" s="29" t="n">
        <f aca="false">H915*Controls!$B$52</f>
        <v>918841.848055786</v>
      </c>
      <c r="J915" s="29" t="n">
        <f aca="false">'City Fiscal'!$B$5+(H915*Controls!$B$56*Controls!$B$55)+('City Fiscal'!$B$9*B915*F915)</f>
        <v>149142.022646063</v>
      </c>
      <c r="K915" s="29" t="n">
        <f aca="false">J915-('City Fiscal'!$B$13*E915)</f>
        <v>42705.1507182558</v>
      </c>
      <c r="L915" s="30" t="n">
        <f aca="false">'Mobility &amp; Emissions'!$B$21*B915*F915</f>
        <v>87.9551181296947</v>
      </c>
    </row>
    <row r="916" customFormat="false" ht="15" hidden="false" customHeight="true" outlineLevel="0" collapsed="false">
      <c r="A916" s="14" t="n">
        <v>912</v>
      </c>
      <c r="B916" s="47" t="n">
        <v>0.838971179401467</v>
      </c>
      <c r="C916" s="47" t="n">
        <v>0.989413694841946</v>
      </c>
      <c r="D916" s="47" t="n">
        <v>0.967637149839791</v>
      </c>
      <c r="E916" s="47" t="n">
        <v>1.08265678980012</v>
      </c>
      <c r="F916" s="47" t="n">
        <v>1.00984829647842</v>
      </c>
      <c r="G916" s="27" t="n">
        <f aca="false">'Visitor Economics'!$B$5*B916</f>
        <v>27014.8719767272</v>
      </c>
      <c r="H916" s="29" t="n">
        <f aca="false">MAX(0,'Visitor Economics'!$B$18*B916*C916*D916)</f>
        <v>581208.774908357</v>
      </c>
      <c r="I916" s="29" t="n">
        <f aca="false">H916*Controls!$B$52</f>
        <v>825316.460369867</v>
      </c>
      <c r="J916" s="29" t="n">
        <f aca="false">'City Fiscal'!$B$5+(H916*Controls!$B$56*Controls!$B$55)+('City Fiscal'!$B$9*B916*F916)</f>
        <v>138622.771165549</v>
      </c>
      <c r="K916" s="29" t="n">
        <f aca="false">J916-('City Fiscal'!$B$13*E916)</f>
        <v>19530.524287536</v>
      </c>
      <c r="L916" s="30" t="n">
        <f aca="false">'Mobility &amp; Emissions'!$B$21*B916*F916</f>
        <v>79.0737537076459</v>
      </c>
    </row>
    <row r="917" customFormat="false" ht="15" hidden="false" customHeight="true" outlineLevel="0" collapsed="false">
      <c r="A917" s="14" t="n">
        <v>913</v>
      </c>
      <c r="B917" s="47" t="n">
        <v>0.968038475772934</v>
      </c>
      <c r="C917" s="47" t="n">
        <v>1.10727207793864</v>
      </c>
      <c r="D917" s="47" t="n">
        <v>1.08722331247995</v>
      </c>
      <c r="E917" s="47" t="n">
        <v>1.02823153966355</v>
      </c>
      <c r="F917" s="47" t="n">
        <v>1.04749390262038</v>
      </c>
      <c r="G917" s="27" t="n">
        <f aca="false">'Visitor Economics'!$B$5*B917</f>
        <v>31170.8389198885</v>
      </c>
      <c r="H917" s="29" t="n">
        <f aca="false">MAX(0,'Visitor Economics'!$B$18*B917*C917*D917)</f>
        <v>843257.85091432</v>
      </c>
      <c r="I917" s="29" t="n">
        <f aca="false">H917*Controls!$B$52</f>
        <v>1197426.14829833</v>
      </c>
      <c r="J917" s="29" t="n">
        <f aca="false">'City Fiscal'!$B$5+(H917*Controls!$B$56*Controls!$B$55)+('City Fiscal'!$B$9*B917*F917)</f>
        <v>158009.410712628</v>
      </c>
      <c r="K917" s="29" t="n">
        <f aca="false">J917-('City Fiscal'!$B$13*E917)</f>
        <v>44903.9413496376</v>
      </c>
      <c r="L917" s="30" t="n">
        <f aca="false">'Mobility &amp; Emissions'!$B$21*B917*F917</f>
        <v>94.6396878580589</v>
      </c>
    </row>
    <row r="918" customFormat="false" ht="15" hidden="false" customHeight="true" outlineLevel="0" collapsed="false">
      <c r="A918" s="14" t="n">
        <v>914</v>
      </c>
      <c r="B918" s="47" t="n">
        <v>0.997284366616799</v>
      </c>
      <c r="C918" s="47" t="n">
        <v>0.918453034488532</v>
      </c>
      <c r="D918" s="47" t="n">
        <v>1.07946774498647</v>
      </c>
      <c r="E918" s="47" t="n">
        <v>0.856803532439156</v>
      </c>
      <c r="F918" s="47" t="n">
        <v>1.01081487148406</v>
      </c>
      <c r="G918" s="27" t="n">
        <f aca="false">'Visitor Economics'!$B$5*B918</f>
        <v>32112.5566050609</v>
      </c>
      <c r="H918" s="29" t="n">
        <f aca="false">MAX(0,'Visitor Economics'!$B$18*B918*C918*D918)</f>
        <v>715451.673689557</v>
      </c>
      <c r="I918" s="29" t="n">
        <f aca="false">H918*Controls!$B$52</f>
        <v>1015941.37663917</v>
      </c>
      <c r="J918" s="29" t="n">
        <f aca="false">'City Fiscal'!$B$5+(H918*Controls!$B$56*Controls!$B$55)+('City Fiscal'!$B$9*B918*F918)</f>
        <v>156550.757051036</v>
      </c>
      <c r="K918" s="29" t="n">
        <f aca="false">J918-('City Fiscal'!$B$13*E918)</f>
        <v>62302.3684827287</v>
      </c>
      <c r="L918" s="30" t="n">
        <f aca="false">'Mobility &amp; Emissions'!$B$21*B918*F918</f>
        <v>94.0848745808642</v>
      </c>
    </row>
    <row r="919" customFormat="false" ht="15" hidden="false" customHeight="true" outlineLevel="0" collapsed="false">
      <c r="A919" s="14" t="n">
        <v>915</v>
      </c>
      <c r="B919" s="47" t="n">
        <v>0.965337398525134</v>
      </c>
      <c r="C919" s="47" t="n">
        <v>1.02990005549391</v>
      </c>
      <c r="D919" s="47" t="n">
        <v>1.0319891057768</v>
      </c>
      <c r="E919" s="47" t="n">
        <v>0.851104662029992</v>
      </c>
      <c r="F919" s="47" t="n">
        <v>1.11546740670034</v>
      </c>
      <c r="G919" s="27" t="n">
        <f aca="false">'Visitor Economics'!$B$5*B919</f>
        <v>31083.8642325093</v>
      </c>
      <c r="H919" s="29" t="n">
        <f aca="false">MAX(0,'Visitor Economics'!$B$18*B919*C919*D919)</f>
        <v>742410.311867494</v>
      </c>
      <c r="I919" s="29" t="n">
        <f aca="false">H919*Controls!$B$52</f>
        <v>1054222.64285184</v>
      </c>
      <c r="J919" s="29" t="n">
        <f aca="false">'City Fiscal'!$B$5+(H919*Controls!$B$56*Controls!$B$55)+('City Fiscal'!$B$9*B919*F919)</f>
        <v>164015.135841678</v>
      </c>
      <c r="K919" s="29" t="n">
        <f aca="false">J919-('City Fiscal'!$B$13*E919)</f>
        <v>70393.6230183785</v>
      </c>
      <c r="L919" s="30" t="n">
        <f aca="false">'Mobility &amp; Emissions'!$B$21*B919*F919</f>
        <v>100.499798978283</v>
      </c>
    </row>
    <row r="920" customFormat="false" ht="15" hidden="false" customHeight="true" outlineLevel="0" collapsed="false">
      <c r="A920" s="14" t="n">
        <v>916</v>
      </c>
      <c r="B920" s="47" t="n">
        <v>0.832329723867034</v>
      </c>
      <c r="C920" s="47" t="n">
        <v>1.03130952700543</v>
      </c>
      <c r="D920" s="47" t="n">
        <v>1.09310433403054</v>
      </c>
      <c r="E920" s="47" t="n">
        <v>1.00062327694831</v>
      </c>
      <c r="F920" s="47" t="n">
        <v>1.07515015030075</v>
      </c>
      <c r="G920" s="27" t="n">
        <f aca="false">'Visitor Economics'!$B$5*B920</f>
        <v>26801.0171085185</v>
      </c>
      <c r="H920" s="29" t="n">
        <f aca="false">MAX(0,'Visitor Economics'!$B$18*B920*C920*D920)</f>
        <v>678954.576082026</v>
      </c>
      <c r="I920" s="29" t="n">
        <f aca="false">H920*Controls!$B$52</f>
        <v>964115.498036476</v>
      </c>
      <c r="J920" s="29" t="n">
        <f aca="false">'City Fiscal'!$B$5+(H920*Controls!$B$56*Controls!$B$55)+('City Fiscal'!$B$9*B920*F920)</f>
        <v>144309.419157225</v>
      </c>
      <c r="K920" s="29" t="n">
        <f aca="false">J920-('City Fiscal'!$B$13*E920)</f>
        <v>34240.8586929106</v>
      </c>
      <c r="L920" s="30" t="n">
        <f aca="false">'Mobility &amp; Emissions'!$B$21*B920*F920</f>
        <v>83.5206182837076</v>
      </c>
    </row>
    <row r="921" customFormat="false" ht="15" hidden="false" customHeight="true" outlineLevel="0" collapsed="false">
      <c r="A921" s="14" t="n">
        <v>917</v>
      </c>
      <c r="B921" s="47" t="n">
        <v>0.879811822946984</v>
      </c>
      <c r="C921" s="47" t="n">
        <v>0.867339201514178</v>
      </c>
      <c r="D921" s="47" t="n">
        <v>0.88493855344915</v>
      </c>
      <c r="E921" s="47" t="n">
        <v>1.03362936890604</v>
      </c>
      <c r="F921" s="47" t="n">
        <v>0.98657415568108</v>
      </c>
      <c r="G921" s="27" t="n">
        <f aca="false">'Visitor Economics'!$B$5*B921</f>
        <v>28329.9406988929</v>
      </c>
      <c r="H921" s="29" t="n">
        <f aca="false">MAX(0,'Visitor Economics'!$B$18*B921*C921*D921)</f>
        <v>488637.232023223</v>
      </c>
      <c r="I921" s="29" t="n">
        <f aca="false">H921*Controls!$B$52</f>
        <v>693864.869472977</v>
      </c>
      <c r="J921" s="29" t="n">
        <f aca="false">'City Fiscal'!$B$5+(H921*Controls!$B$56*Controls!$B$55)+('City Fiscal'!$B$9*B921*F921)</f>
        <v>140225.322516894</v>
      </c>
      <c r="K921" s="29" t="n">
        <f aca="false">J921-('City Fiscal'!$B$13*E921)</f>
        <v>26526.0919372292</v>
      </c>
      <c r="L921" s="30" t="n">
        <f aca="false">'Mobility &amp; Emissions'!$B$21*B921*F921</f>
        <v>81.0118788629772</v>
      </c>
    </row>
    <row r="922" customFormat="false" ht="15" hidden="false" customHeight="true" outlineLevel="0" collapsed="false">
      <c r="A922" s="14" t="n">
        <v>918</v>
      </c>
      <c r="B922" s="47" t="n">
        <v>0.94926104326469</v>
      </c>
      <c r="C922" s="47" t="n">
        <v>0.998569314273198</v>
      </c>
      <c r="D922" s="47" t="n">
        <v>1.04533258686347</v>
      </c>
      <c r="E922" s="47" t="n">
        <v>1.02871681039898</v>
      </c>
      <c r="F922" s="47" t="n">
        <v>0.887649701194033</v>
      </c>
      <c r="G922" s="27" t="n">
        <f aca="false">'Visitor Economics'!$B$5*B922</f>
        <v>30566.205593123</v>
      </c>
      <c r="H922" s="29" t="n">
        <f aca="false">MAX(0,'Visitor Economics'!$B$18*B922*C922*D922)</f>
        <v>716989.892065377</v>
      </c>
      <c r="I922" s="29" t="n">
        <f aca="false">H922*Controls!$B$52</f>
        <v>1018125.64673283</v>
      </c>
      <c r="J922" s="29" t="n">
        <f aca="false">'City Fiscal'!$B$5+(H922*Controls!$B$56*Controls!$B$55)+('City Fiscal'!$B$9*B922*F922)</f>
        <v>139012.393742724</v>
      </c>
      <c r="K922" s="29" t="n">
        <f aca="false">J922-('City Fiscal'!$B$13*E922)</f>
        <v>25853.5445988367</v>
      </c>
      <c r="L922" s="30" t="n">
        <f aca="false">'Mobility &amp; Emissions'!$B$21*B922*F922</f>
        <v>78.6423433330839</v>
      </c>
    </row>
    <row r="923" customFormat="false" ht="15" hidden="false" customHeight="true" outlineLevel="0" collapsed="false">
      <c r="A923" s="14" t="n">
        <v>919</v>
      </c>
      <c r="B923" s="47" t="n">
        <v>0.868575391616408</v>
      </c>
      <c r="C923" s="47" t="n">
        <v>0.941971308101537</v>
      </c>
      <c r="D923" s="47" t="n">
        <v>1.05383361653943</v>
      </c>
      <c r="E923" s="47" t="n">
        <v>1.17069836067268</v>
      </c>
      <c r="F923" s="47" t="n">
        <v>0.939624215477738</v>
      </c>
      <c r="G923" s="27" t="n">
        <f aca="false">'Visitor Economics'!$B$5*B923</f>
        <v>27968.1276100483</v>
      </c>
      <c r="H923" s="29" t="n">
        <f aca="false">MAX(0,'Visitor Economics'!$B$18*B923*C923*D923)</f>
        <v>623895.586158829</v>
      </c>
      <c r="I923" s="29" t="n">
        <f aca="false">H923*Controls!$B$52</f>
        <v>885931.732345537</v>
      </c>
      <c r="J923" s="29" t="n">
        <f aca="false">'City Fiscal'!$B$5+(H923*Controls!$B$56*Controls!$B$55)+('City Fiscal'!$B$9*B923*F923)</f>
        <v>135601.045217145</v>
      </c>
      <c r="K923" s="29" t="n">
        <f aca="false">J923-('City Fiscal'!$B$13*E923)</f>
        <v>6824.22554315027</v>
      </c>
      <c r="L923" s="30" t="n">
        <f aca="false">'Mobility &amp; Emissions'!$B$21*B923*F923</f>
        <v>76.1712176005756</v>
      </c>
    </row>
    <row r="924" customFormat="false" ht="15" hidden="false" customHeight="true" outlineLevel="0" collapsed="false">
      <c r="A924" s="14" t="n">
        <v>920</v>
      </c>
      <c r="B924" s="47" t="n">
        <v>0.932022730208309</v>
      </c>
      <c r="C924" s="47" t="n">
        <v>1.04446193012792</v>
      </c>
      <c r="D924" s="47" t="n">
        <v>1.07878011213647</v>
      </c>
      <c r="E924" s="47" t="n">
        <v>1.23360640368925</v>
      </c>
      <c r="F924" s="47" t="n">
        <v>1.13745009960199</v>
      </c>
      <c r="G924" s="27" t="n">
        <f aca="false">'Visitor Economics'!$B$5*B924</f>
        <v>30011.1319127075</v>
      </c>
      <c r="H924" s="29" t="n">
        <f aca="false">MAX(0,'Visitor Economics'!$B$18*B924*C924*D924)</f>
        <v>759882.984781715</v>
      </c>
      <c r="I924" s="29" t="n">
        <f aca="false">H924*Controls!$B$52</f>
        <v>1079033.83839004</v>
      </c>
      <c r="J924" s="29" t="n">
        <f aca="false">'City Fiscal'!$B$5+(H924*Controls!$B$56*Controls!$B$55)+('City Fiscal'!$B$9*B924*F924)</f>
        <v>162360.035155056</v>
      </c>
      <c r="K924" s="29" t="n">
        <f aca="false">J924-('City Fiscal'!$B$13*E924)</f>
        <v>26663.3307492388</v>
      </c>
      <c r="L924" s="30" t="n">
        <f aca="false">'Mobility &amp; Emissions'!$B$21*B924*F924</f>
        <v>98.9436742040303</v>
      </c>
    </row>
    <row r="925" customFormat="false" ht="15" hidden="false" customHeight="true" outlineLevel="0" collapsed="false">
      <c r="A925" s="14" t="n">
        <v>921</v>
      </c>
      <c r="B925" s="47" t="n">
        <v>0.819527205820802</v>
      </c>
      <c r="C925" s="47" t="n">
        <v>1.01410382443166</v>
      </c>
      <c r="D925" s="47" t="n">
        <v>1.17450993442843</v>
      </c>
      <c r="E925" s="47" t="n">
        <v>1.01804364634699</v>
      </c>
      <c r="F925" s="47" t="n">
        <v>0.959510273490664</v>
      </c>
      <c r="G925" s="27" t="n">
        <f aca="false">'Visitor Economics'!$B$5*B925</f>
        <v>26388.7760274298</v>
      </c>
      <c r="H925" s="29" t="n">
        <f aca="false">MAX(0,'Visitor Economics'!$B$18*B925*C925*D925)</f>
        <v>706312.93554152</v>
      </c>
      <c r="I925" s="29" t="n">
        <f aca="false">H925*Controls!$B$52</f>
        <v>1002964.36846896</v>
      </c>
      <c r="J925" s="29" t="n">
        <f aca="false">'City Fiscal'!$B$5+(H925*Controls!$B$56*Controls!$B$55)+('City Fiscal'!$B$9*B925*F925)</f>
        <v>132975.651557102</v>
      </c>
      <c r="K925" s="29" t="n">
        <f aca="false">J925-('City Fiscal'!$B$13*E925)</f>
        <v>20990.8504589335</v>
      </c>
      <c r="L925" s="30" t="n">
        <f aca="false">'Mobility &amp; Emissions'!$B$21*B925*F925</f>
        <v>73.3908944866182</v>
      </c>
    </row>
    <row r="926" customFormat="false" ht="15" hidden="false" customHeight="true" outlineLevel="0" collapsed="false">
      <c r="A926" s="14" t="n">
        <v>922</v>
      </c>
      <c r="B926" s="47" t="n">
        <v>0.829014283632427</v>
      </c>
      <c r="C926" s="47" t="n">
        <v>1.03171636618263</v>
      </c>
      <c r="D926" s="47" t="n">
        <v>0.971185512003394</v>
      </c>
      <c r="E926" s="47" t="n">
        <v>1.06322808026901</v>
      </c>
      <c r="F926" s="47" t="n">
        <v>0.96744147478638</v>
      </c>
      <c r="G926" s="27" t="n">
        <f aca="false">'Visitor Economics'!$B$5*B926</f>
        <v>26694.2599329642</v>
      </c>
      <c r="H926" s="29" t="n">
        <f aca="false">MAX(0,'Visitor Economics'!$B$18*B926*C926*D926)</f>
        <v>601061.897151083</v>
      </c>
      <c r="I926" s="29" t="n">
        <f aca="false">H926*Controls!$B$52</f>
        <v>853507.893954538</v>
      </c>
      <c r="J926" s="29" t="n">
        <f aca="false">'City Fiscal'!$B$5+(H926*Controls!$B$56*Controls!$B$55)+('City Fiscal'!$B$9*B926*F926)</f>
        <v>133956.416857799</v>
      </c>
      <c r="K926" s="29" t="n">
        <f aca="false">J926-('City Fiscal'!$B$13*E926)</f>
        <v>17001.328028208</v>
      </c>
      <c r="L926" s="30" t="n">
        <f aca="false">'Mobility &amp; Emissions'!$B$21*B926*F926</f>
        <v>74.8541514725489</v>
      </c>
    </row>
    <row r="927" customFormat="false" ht="15" hidden="false" customHeight="true" outlineLevel="0" collapsed="false">
      <c r="A927" s="14" t="n">
        <v>923</v>
      </c>
      <c r="B927" s="47" t="n">
        <v>0.938244266256121</v>
      </c>
      <c r="C927" s="47" t="n">
        <v>0.854073450074802</v>
      </c>
      <c r="D927" s="47" t="n">
        <v>1.16780358888613</v>
      </c>
      <c r="E927" s="47" t="n">
        <v>1.01688790250182</v>
      </c>
      <c r="F927" s="47" t="n">
        <v>1.03255852521362</v>
      </c>
      <c r="G927" s="27" t="n">
        <f aca="false">'Visitor Economics'!$B$5*B927</f>
        <v>30211.4653734471</v>
      </c>
      <c r="H927" s="29" t="n">
        <f aca="false">MAX(0,'Visitor Economics'!$B$18*B927*C927*D927)</f>
        <v>677135.550947461</v>
      </c>
      <c r="I927" s="29" t="n">
        <f aca="false">H927*Controls!$B$52</f>
        <v>961532.482345394</v>
      </c>
      <c r="J927" s="29" t="n">
        <f aca="false">'City Fiscal'!$B$5+(H927*Controls!$B$56*Controls!$B$55)+('City Fiscal'!$B$9*B927*F927)</f>
        <v>152136.719187635</v>
      </c>
      <c r="K927" s="29" t="n">
        <f aca="false">J927-('City Fiscal'!$B$13*E927)</f>
        <v>40279.0499124347</v>
      </c>
      <c r="L927" s="30" t="n">
        <f aca="false">'Mobility &amp; Emissions'!$B$21*B927*F927</f>
        <v>90.419015119396</v>
      </c>
    </row>
    <row r="928" customFormat="false" ht="15" hidden="false" customHeight="true" outlineLevel="0" collapsed="false">
      <c r="A928" s="14" t="n">
        <v>924</v>
      </c>
      <c r="B928" s="47" t="n">
        <v>0.861255153682705</v>
      </c>
      <c r="C928" s="47" t="n">
        <v>1.00022521133394</v>
      </c>
      <c r="D928" s="47" t="n">
        <v>1.09960468757305</v>
      </c>
      <c r="E928" s="47" t="n">
        <v>1.05096796740223</v>
      </c>
      <c r="F928" s="47" t="n">
        <v>0.897670745746212</v>
      </c>
      <c r="G928" s="27" t="n">
        <f aca="false">'Visitor Economics'!$B$5*B928</f>
        <v>27732.4159485831</v>
      </c>
      <c r="H928" s="29" t="n">
        <f aca="false">MAX(0,'Visitor Economics'!$B$18*B928*C928*D928)</f>
        <v>685426.486931807</v>
      </c>
      <c r="I928" s="29" t="n">
        <f aca="false">H928*Controls!$B$52</f>
        <v>973305.611443166</v>
      </c>
      <c r="J928" s="29" t="n">
        <f aca="false">'City Fiscal'!$B$5+(H928*Controls!$B$56*Controls!$B$55)+('City Fiscal'!$B$9*B928*F928)</f>
        <v>131438.081589155</v>
      </c>
      <c r="K928" s="29" t="n">
        <f aca="false">J928-('City Fiscal'!$B$13*E928)</f>
        <v>15831.6051749097</v>
      </c>
      <c r="L928" s="30" t="n">
        <f aca="false">'Mobility &amp; Emissions'!$B$21*B928*F928</f>
        <v>72.1569357993765</v>
      </c>
    </row>
    <row r="929" customFormat="false" ht="15" hidden="false" customHeight="true" outlineLevel="0" collapsed="false">
      <c r="A929" s="14" t="n">
        <v>925</v>
      </c>
      <c r="B929" s="47" t="n">
        <v>0.920984849644108</v>
      </c>
      <c r="C929" s="47" t="n">
        <v>0.998418048414391</v>
      </c>
      <c r="D929" s="47" t="n">
        <v>0.974403446471507</v>
      </c>
      <c r="E929" s="47" t="n">
        <v>1.06525355213158</v>
      </c>
      <c r="F929" s="47" t="n">
        <v>1.00387505346451</v>
      </c>
      <c r="G929" s="27" t="n">
        <f aca="false">'Visitor Economics'!$B$5*B929</f>
        <v>29655.7121585403</v>
      </c>
      <c r="H929" s="29" t="n">
        <f aca="false">MAX(0,'Visitor Economics'!$B$18*B929*C929*D929)</f>
        <v>648333.391870684</v>
      </c>
      <c r="I929" s="29" t="n">
        <f aca="false">H929*Controls!$B$52</f>
        <v>920633.416456371</v>
      </c>
      <c r="J929" s="29" t="n">
        <f aca="false">'City Fiscal'!$B$5+(H929*Controls!$B$56*Controls!$B$55)+('City Fiscal'!$B$9*B929*F929)</f>
        <v>147258.211718796</v>
      </c>
      <c r="K929" s="29" t="n">
        <f aca="false">J929-('City Fiscal'!$B$13*E929)</f>
        <v>30080.320984322</v>
      </c>
      <c r="L929" s="30" t="n">
        <f aca="false">'Mobility &amp; Emissions'!$B$21*B929*F929</f>
        <v>86.2901699787369</v>
      </c>
    </row>
    <row r="930" customFormat="false" ht="15" hidden="false" customHeight="true" outlineLevel="0" collapsed="false">
      <c r="A930" s="14" t="n">
        <v>926</v>
      </c>
      <c r="B930" s="47" t="n">
        <v>0.891574190563947</v>
      </c>
      <c r="C930" s="47" t="n">
        <v>1.05468537682877</v>
      </c>
      <c r="D930" s="47" t="n">
        <v>1.1845114513827</v>
      </c>
      <c r="E930" s="47" t="n">
        <v>1.05700064766948</v>
      </c>
      <c r="F930" s="47" t="n">
        <v>0.985083307629033</v>
      </c>
      <c r="G930" s="27" t="n">
        <f aca="false">'Visitor Economics'!$B$5*B930</f>
        <v>28708.6889361591</v>
      </c>
      <c r="H930" s="29" t="n">
        <f aca="false">MAX(0,'Visitor Economics'!$B$18*B930*C930*D930)</f>
        <v>805961.591481735</v>
      </c>
      <c r="I930" s="29" t="n">
        <f aca="false">H930*Controls!$B$52</f>
        <v>1144465.45990406</v>
      </c>
      <c r="J930" s="29" t="n">
        <f aca="false">'City Fiscal'!$B$5+(H930*Controls!$B$56*Controls!$B$55)+('City Fiscal'!$B$9*B930*F930)</f>
        <v>143371.36413996</v>
      </c>
      <c r="K930" s="29" t="n">
        <f aca="false">J930-('City Fiscal'!$B$13*E930)</f>
        <v>27101.2928963168</v>
      </c>
      <c r="L930" s="30" t="n">
        <f aca="false">'Mobility &amp; Emissions'!$B$21*B930*F930</f>
        <v>81.970885063899</v>
      </c>
    </row>
    <row r="931" customFormat="false" ht="15" hidden="false" customHeight="true" outlineLevel="0" collapsed="false">
      <c r="A931" s="14" t="n">
        <v>927</v>
      </c>
      <c r="B931" s="47" t="n">
        <v>0.966896327810593</v>
      </c>
      <c r="C931" s="47" t="n">
        <v>1.04812510869573</v>
      </c>
      <c r="D931" s="47" t="n">
        <v>1.08400677724678</v>
      </c>
      <c r="E931" s="47" t="n">
        <v>1.05123820789699</v>
      </c>
      <c r="F931" s="47" t="n">
        <v>0.978072245236819</v>
      </c>
      <c r="G931" s="27" t="n">
        <f aca="false">'Visitor Economics'!$B$5*B931</f>
        <v>31134.0617555011</v>
      </c>
      <c r="H931" s="29" t="n">
        <f aca="false">MAX(0,'Visitor Economics'!$B$18*B931*C931*D931)</f>
        <v>794913.189115011</v>
      </c>
      <c r="I931" s="29" t="n">
        <f aca="false">H931*Controls!$B$52</f>
        <v>1128776.72854332</v>
      </c>
      <c r="J931" s="29" t="n">
        <f aca="false">'City Fiscal'!$B$5+(H931*Controls!$B$56*Controls!$B$55)+('City Fiscal'!$B$9*B931*F931)</f>
        <v>150450.210013935</v>
      </c>
      <c r="K931" s="29" t="n">
        <f aca="false">J931-('City Fiscal'!$B$13*E931)</f>
        <v>34814.0071452656</v>
      </c>
      <c r="L931" s="30" t="n">
        <f aca="false">'Mobility &amp; Emissions'!$B$21*B931*F931</f>
        <v>88.2632718426529</v>
      </c>
    </row>
    <row r="932" customFormat="false" ht="15" hidden="false" customHeight="true" outlineLevel="0" collapsed="false">
      <c r="A932" s="14" t="n">
        <v>928</v>
      </c>
      <c r="B932" s="47" t="n">
        <v>0.972629122870692</v>
      </c>
      <c r="C932" s="47" t="n">
        <v>1.01444432748545</v>
      </c>
      <c r="D932" s="47" t="n">
        <v>0.943805677557281</v>
      </c>
      <c r="E932" s="47" t="n">
        <v>0.88899347795263</v>
      </c>
      <c r="F932" s="47" t="n">
        <v>0.957016353890422</v>
      </c>
      <c r="G932" s="27" t="n">
        <f aca="false">'Visitor Economics'!$B$5*B932</f>
        <v>31318.6577564363</v>
      </c>
      <c r="H932" s="29" t="n">
        <f aca="false">MAX(0,'Visitor Economics'!$B$18*B932*C932*D932)</f>
        <v>673833.723475115</v>
      </c>
      <c r="I932" s="29" t="n">
        <f aca="false">H932*Controls!$B$52</f>
        <v>956843.887334663</v>
      </c>
      <c r="J932" s="29" t="n">
        <f aca="false">'City Fiscal'!$B$5+(H932*Controls!$B$56*Controls!$B$55)+('City Fiscal'!$B$9*B932*F932)</f>
        <v>148088.257866138</v>
      </c>
      <c r="K932" s="29" t="n">
        <f aca="false">J932-('City Fiscal'!$B$13*E932)</f>
        <v>50298.9752913488</v>
      </c>
      <c r="L932" s="30" t="n">
        <f aca="false">'Mobility &amp; Emissions'!$B$21*B932*F932</f>
        <v>86.875197497457</v>
      </c>
    </row>
    <row r="933" customFormat="false" ht="15" hidden="false" customHeight="true" outlineLevel="0" collapsed="false">
      <c r="A933" s="14" t="n">
        <v>929</v>
      </c>
      <c r="B933" s="47" t="n">
        <v>0.926213007298453</v>
      </c>
      <c r="C933" s="47" t="n">
        <v>0.932529996001066</v>
      </c>
      <c r="D933" s="47" t="n">
        <v>0.978873075100678</v>
      </c>
      <c r="E933" s="47" t="n">
        <v>0.992062488648747</v>
      </c>
      <c r="F933" s="47" t="n">
        <v>1.03946719943836</v>
      </c>
      <c r="G933" s="27" t="n">
        <f aca="false">'Visitor Economics'!$B$5*B933</f>
        <v>29824.0588350102</v>
      </c>
      <c r="H933" s="29" t="n">
        <f aca="false">MAX(0,'Visitor Economics'!$B$18*B933*C933*D933)</f>
        <v>611779.244163523</v>
      </c>
      <c r="I933" s="29" t="n">
        <f aca="false">H933*Controls!$B$52</f>
        <v>868726.526712203</v>
      </c>
      <c r="J933" s="29" t="n">
        <f aca="false">'City Fiscal'!$B$5+(H933*Controls!$B$56*Controls!$B$55)+('City Fiscal'!$B$9*B933*F933)</f>
        <v>151074.304447245</v>
      </c>
      <c r="K933" s="29" t="n">
        <f aca="false">J933-('City Fiscal'!$B$13*E933)</f>
        <v>41947.4306958831</v>
      </c>
      <c r="L933" s="30" t="n">
        <f aca="false">'Mobility &amp; Emissions'!$B$21*B933*F933</f>
        <v>89.8567779516578</v>
      </c>
    </row>
    <row r="934" customFormat="false" ht="15" hidden="false" customHeight="true" outlineLevel="0" collapsed="false">
      <c r="A934" s="14" t="n">
        <v>930</v>
      </c>
      <c r="B934" s="47" t="n">
        <v>0.927501351361223</v>
      </c>
      <c r="C934" s="47" t="n">
        <v>0.891056315693962</v>
      </c>
      <c r="D934" s="47" t="n">
        <v>0.982479875543225</v>
      </c>
      <c r="E934" s="47" t="n">
        <v>1.01051878988113</v>
      </c>
      <c r="F934" s="47" t="n">
        <v>0.914865244931319</v>
      </c>
      <c r="G934" s="27" t="n">
        <f aca="false">'Visitor Economics'!$B$5*B934</f>
        <v>29865.5435138314</v>
      </c>
      <c r="H934" s="29" t="n">
        <f aca="false">MAX(0,'Visitor Economics'!$B$18*B934*C934*D934)</f>
        <v>587540.808750926</v>
      </c>
      <c r="I934" s="29" t="n">
        <f aca="false">H934*Controls!$B$52</f>
        <v>834307.948426315</v>
      </c>
      <c r="J934" s="29" t="n">
        <f aca="false">'City Fiscal'!$B$5+(H934*Controls!$B$56*Controls!$B$55)+('City Fiscal'!$B$9*B934*F934)</f>
        <v>138802.223696971</v>
      </c>
      <c r="K934" s="29" t="n">
        <f aca="false">J934-('City Fiscal'!$B$13*E934)</f>
        <v>27645.1568100469</v>
      </c>
      <c r="L934" s="30" t="n">
        <f aca="false">'Mobility &amp; Emissions'!$B$21*B934*F934</f>
        <v>79.1955641455134</v>
      </c>
    </row>
    <row r="935" customFormat="false" ht="15" hidden="false" customHeight="true" outlineLevel="0" collapsed="false">
      <c r="A935" s="14" t="n">
        <v>931</v>
      </c>
      <c r="B935" s="47" t="n">
        <v>0.959900083194733</v>
      </c>
      <c r="C935" s="47" t="n">
        <v>0.857828560638756</v>
      </c>
      <c r="D935" s="47" t="n">
        <v>1.04735190600452</v>
      </c>
      <c r="E935" s="47" t="n">
        <v>1.02225288146719</v>
      </c>
      <c r="F935" s="47" t="n">
        <v>0.932568153667137</v>
      </c>
      <c r="G935" s="27" t="n">
        <f aca="false">'Visitor Economics'!$B$5*B935</f>
        <v>30908.7826788704</v>
      </c>
      <c r="H935" s="29" t="n">
        <f aca="false">MAX(0,'Visitor Economics'!$B$18*B935*C935*D935)</f>
        <v>624042.011213153</v>
      </c>
      <c r="I935" s="29" t="n">
        <f aca="false">H935*Controls!$B$52</f>
        <v>886139.655922678</v>
      </c>
      <c r="J935" s="29" t="n">
        <f aca="false">'City Fiscal'!$B$5+(H935*Controls!$B$56*Controls!$B$55)+('City Fiscal'!$B$9*B935*F935)</f>
        <v>143984.641920972</v>
      </c>
      <c r="K935" s="29" t="n">
        <f aca="false">J935-('City Fiscal'!$B$13*E935)</f>
        <v>31536.8249595807</v>
      </c>
      <c r="L935" s="30" t="n">
        <f aca="false">'Mobility &amp; Emissions'!$B$21*B935*F935</f>
        <v>83.5479477257132</v>
      </c>
    </row>
    <row r="936" customFormat="false" ht="15" hidden="false" customHeight="true" outlineLevel="0" collapsed="false">
      <c r="A936" s="14" t="n">
        <v>932</v>
      </c>
      <c r="B936" s="47" t="n">
        <v>0.880482834354929</v>
      </c>
      <c r="C936" s="47" t="n">
        <v>0.937690271475598</v>
      </c>
      <c r="D936" s="47" t="n">
        <v>0.847832882881387</v>
      </c>
      <c r="E936" s="47" t="n">
        <v>0.95152528274062</v>
      </c>
      <c r="F936" s="47" t="n">
        <v>0.972871884497634</v>
      </c>
      <c r="G936" s="27" t="n">
        <f aca="false">'Visitor Economics'!$B$5*B936</f>
        <v>28351.5472662287</v>
      </c>
      <c r="H936" s="29" t="n">
        <f aca="false">MAX(0,'Visitor Economics'!$B$18*B936*C936*D936)</f>
        <v>506506.741155398</v>
      </c>
      <c r="I936" s="29" t="n">
        <f aca="false">H936*Controls!$B$52</f>
        <v>719239.572440665</v>
      </c>
      <c r="J936" s="29" t="n">
        <f aca="false">'City Fiscal'!$B$5+(H936*Controls!$B$56*Controls!$B$55)+('City Fiscal'!$B$9*B936*F936)</f>
        <v>139131.770154734</v>
      </c>
      <c r="K936" s="29" t="n">
        <f aca="false">J936-('City Fiscal'!$B$13*E936)</f>
        <v>34463.9890532655</v>
      </c>
      <c r="L936" s="30" t="n">
        <f aca="false">'Mobility &amp; Emissions'!$B$21*B936*F936</f>
        <v>79.9476536954011</v>
      </c>
    </row>
    <row r="937" customFormat="false" ht="15" hidden="false" customHeight="true" outlineLevel="0" collapsed="false">
      <c r="A937" s="14" t="n">
        <v>933</v>
      </c>
      <c r="B937" s="47" t="n">
        <v>0.917843389395357</v>
      </c>
      <c r="C937" s="47" t="n">
        <v>1.00280785009225</v>
      </c>
      <c r="D937" s="47" t="n">
        <v>1.00317263117717</v>
      </c>
      <c r="E937" s="47" t="n">
        <v>0.847116415692344</v>
      </c>
      <c r="F937" s="47" t="n">
        <v>1.07575378797541</v>
      </c>
      <c r="G937" s="27" t="n">
        <f aca="false">'Visitor Economics'!$B$5*B937</f>
        <v>29554.5571385305</v>
      </c>
      <c r="H937" s="29" t="n">
        <f aca="false">MAX(0,'Visitor Economics'!$B$18*B937*C937*D937)</f>
        <v>668123.356150174</v>
      </c>
      <c r="I937" s="29" t="n">
        <f aca="false">H937*Controls!$B$52</f>
        <v>948735.165733246</v>
      </c>
      <c r="J937" s="29" t="n">
        <f aca="false">'City Fiscal'!$B$5+(H937*Controls!$B$56*Controls!$B$55)+('City Fiscal'!$B$9*B937*F937)</f>
        <v>154049.038849635</v>
      </c>
      <c r="K937" s="29" t="n">
        <f aca="false">J937-('City Fiscal'!$B$13*E937)</f>
        <v>60866.2331234772</v>
      </c>
      <c r="L937" s="30" t="n">
        <f aca="false">'Mobility &amp; Emissions'!$B$21*B937*F937</f>
        <v>92.1532475615681</v>
      </c>
    </row>
    <row r="938" customFormat="false" ht="15" hidden="false" customHeight="true" outlineLevel="0" collapsed="false">
      <c r="A938" s="14" t="n">
        <v>934</v>
      </c>
      <c r="B938" s="47" t="n">
        <v>0.832007691738819</v>
      </c>
      <c r="C938" s="47" t="n">
        <v>0.953592664469274</v>
      </c>
      <c r="D938" s="47" t="n">
        <v>1.13866155201369</v>
      </c>
      <c r="E938" s="47" t="n">
        <v>0.92935401227207</v>
      </c>
      <c r="F938" s="47" t="n">
        <v>1.06936191966571</v>
      </c>
      <c r="G938" s="27" t="n">
        <f aca="false">'Visitor Economics'!$B$5*B938</f>
        <v>26790.64767399</v>
      </c>
      <c r="H938" s="29" t="n">
        <f aca="false">MAX(0,'Visitor Economics'!$B$18*B938*C938*D938)</f>
        <v>653701.631631035</v>
      </c>
      <c r="I938" s="29" t="n">
        <f aca="false">H938*Controls!$B$52</f>
        <v>928256.316916069</v>
      </c>
      <c r="J938" s="29" t="n">
        <f aca="false">'City Fiscal'!$B$5+(H938*Controls!$B$56*Controls!$B$55)+('City Fiscal'!$B$9*B938*F938)</f>
        <v>143598.295762769</v>
      </c>
      <c r="K938" s="29" t="n">
        <f aca="false">J938-('City Fiscal'!$B$13*E938)</f>
        <v>41369.354412841</v>
      </c>
      <c r="L938" s="30" t="n">
        <f aca="false">'Mobility &amp; Emissions'!$B$21*B938*F938</f>
        <v>83.0388320870237</v>
      </c>
    </row>
    <row r="939" customFormat="false" ht="15" hidden="false" customHeight="true" outlineLevel="0" collapsed="false">
      <c r="A939" s="14" t="n">
        <v>935</v>
      </c>
      <c r="B939" s="47" t="n">
        <v>0.894105214604767</v>
      </c>
      <c r="C939" s="47" t="n">
        <v>1.02560720366469</v>
      </c>
      <c r="D939" s="47" t="n">
        <v>0.983244434118133</v>
      </c>
      <c r="E939" s="47" t="n">
        <v>1.07790627553568</v>
      </c>
      <c r="F939" s="47" t="n">
        <v>0.949611746295304</v>
      </c>
      <c r="G939" s="27" t="n">
        <f aca="false">'Visitor Economics'!$B$5*B939</f>
        <v>28790.1879102735</v>
      </c>
      <c r="H939" s="29" t="n">
        <f aca="false">MAX(0,'Visitor Economics'!$B$18*B939*C939*D939)</f>
        <v>652417.882856661</v>
      </c>
      <c r="I939" s="29" t="n">
        <f aca="false">H939*Controls!$B$52</f>
        <v>926433.393656458</v>
      </c>
      <c r="J939" s="29" t="n">
        <f aca="false">'City Fiscal'!$B$5+(H939*Controls!$B$56*Controls!$B$55)+('City Fiscal'!$B$9*B939*F939)</f>
        <v>139277.148040279</v>
      </c>
      <c r="K939" s="29" t="n">
        <f aca="false">J939-('City Fiscal'!$B$13*E939)</f>
        <v>20707.4577313538</v>
      </c>
      <c r="L939" s="30" t="n">
        <f aca="false">'Mobility &amp; Emissions'!$B$21*B939*F939</f>
        <v>79.2435425402434</v>
      </c>
    </row>
    <row r="940" customFormat="false" ht="15" hidden="false" customHeight="true" outlineLevel="0" collapsed="false">
      <c r="A940" s="14" t="n">
        <v>936</v>
      </c>
      <c r="B940" s="47" t="n">
        <v>0.845452272687814</v>
      </c>
      <c r="C940" s="47" t="n">
        <v>0.974580076335859</v>
      </c>
      <c r="D940" s="47" t="n">
        <v>0.826040199825805</v>
      </c>
      <c r="E940" s="47" t="n">
        <v>0.893343711386867</v>
      </c>
      <c r="F940" s="47" t="n">
        <v>0.893214580872664</v>
      </c>
      <c r="G940" s="27" t="n">
        <f aca="false">'Visitor Economics'!$B$5*B940</f>
        <v>27223.5631805476</v>
      </c>
      <c r="H940" s="29" t="n">
        <f aca="false">MAX(0,'Visitor Economics'!$B$18*B940*C940*D940)</f>
        <v>492495.738856347</v>
      </c>
      <c r="I940" s="29" t="n">
        <f aca="false">H940*Controls!$B$52</f>
        <v>699343.949176013</v>
      </c>
      <c r="J940" s="29" t="n">
        <f aca="false">'City Fiscal'!$B$5+(H940*Controls!$B$56*Controls!$B$55)+('City Fiscal'!$B$9*B940*F940)</f>
        <v>128283.79016681</v>
      </c>
      <c r="K940" s="29" t="n">
        <f aca="false">J940-('City Fiscal'!$B$13*E940)</f>
        <v>30015.9819142547</v>
      </c>
      <c r="L940" s="30" t="n">
        <f aca="false">'Mobility &amp; Emissions'!$B$21*B940*F940</f>
        <v>70.4813276455384</v>
      </c>
    </row>
    <row r="941" customFormat="false" ht="15" hidden="false" customHeight="true" outlineLevel="0" collapsed="false">
      <c r="A941" s="14" t="n">
        <v>937</v>
      </c>
      <c r="B941" s="47" t="n">
        <v>0.915879358255771</v>
      </c>
      <c r="C941" s="47" t="n">
        <v>1.06323733621473</v>
      </c>
      <c r="D941" s="47" t="n">
        <v>1.02456985560933</v>
      </c>
      <c r="E941" s="47" t="n">
        <v>0.95529634141395</v>
      </c>
      <c r="F941" s="47" t="n">
        <v>1.01880358236598</v>
      </c>
      <c r="G941" s="27" t="n">
        <f aca="false">'Visitor Economics'!$B$5*B941</f>
        <v>29491.3153358358</v>
      </c>
      <c r="H941" s="29" t="n">
        <f aca="false">MAX(0,'Visitor Economics'!$B$18*B941*C941*D941)</f>
        <v>721946.031710034</v>
      </c>
      <c r="I941" s="29" t="n">
        <f aca="false">H941*Controls!$B$52</f>
        <v>1025163.36502825</v>
      </c>
      <c r="J941" s="29" t="n">
        <f aca="false">'City Fiscal'!$B$5+(H941*Controls!$B$56*Controls!$B$55)+('City Fiscal'!$B$9*B941*F941)</f>
        <v>148641.754127129</v>
      </c>
      <c r="K941" s="29" t="n">
        <f aca="false">J941-('City Fiscal'!$B$13*E941)</f>
        <v>43559.1565715945</v>
      </c>
      <c r="L941" s="30" t="n">
        <f aca="false">'Mobility &amp; Emissions'!$B$21*B941*F941</f>
        <v>87.0879185806503</v>
      </c>
    </row>
    <row r="942" customFormat="false" ht="15" hidden="false" customHeight="true" outlineLevel="0" collapsed="false">
      <c r="A942" s="14" t="n">
        <v>938</v>
      </c>
      <c r="B942" s="47" t="n">
        <v>0.905733050547579</v>
      </c>
      <c r="C942" s="47" t="n">
        <v>0.86676537180436</v>
      </c>
      <c r="D942" s="47" t="n">
        <v>1.16568659655784</v>
      </c>
      <c r="E942" s="47" t="n">
        <v>1.05478537452332</v>
      </c>
      <c r="F942" s="47" t="n">
        <v>1.03645485479335</v>
      </c>
      <c r="G942" s="27" t="n">
        <f aca="false">'Visitor Economics'!$B$5*B942</f>
        <v>29164.604227632</v>
      </c>
      <c r="H942" s="29" t="n">
        <f aca="false">MAX(0,'Visitor Economics'!$B$18*B942*C942*D942)</f>
        <v>662183.325404024</v>
      </c>
      <c r="I942" s="29" t="n">
        <f aca="false">H942*Controls!$B$52</f>
        <v>940300.322073713</v>
      </c>
      <c r="J942" s="29" t="n">
        <f aca="false">'City Fiscal'!$B$5+(H942*Controls!$B$56*Controls!$B$55)+('City Fiscal'!$B$9*B942*F942)</f>
        <v>148853.749837393</v>
      </c>
      <c r="K942" s="29" t="n">
        <f aca="false">J942-('City Fiscal'!$B$13*E942)</f>
        <v>32827.3586398282</v>
      </c>
      <c r="L942" s="30" t="n">
        <f aca="false">'Mobility &amp; Emissions'!$B$21*B942*F942</f>
        <v>87.6152656621223</v>
      </c>
    </row>
    <row r="943" customFormat="false" ht="15" hidden="false" customHeight="true" outlineLevel="0" collapsed="false">
      <c r="A943" s="14" t="n">
        <v>939</v>
      </c>
      <c r="B943" s="47" t="n">
        <v>0.942153998175886</v>
      </c>
      <c r="C943" s="47" t="n">
        <v>1.00188988188982</v>
      </c>
      <c r="D943" s="47" t="n">
        <v>1.09882543203303</v>
      </c>
      <c r="E943" s="47" t="n">
        <v>1.12842183584212</v>
      </c>
      <c r="F943" s="47" t="n">
        <v>1.03805135105773</v>
      </c>
      <c r="G943" s="27" t="n">
        <f aca="false">'Visitor Economics'!$B$5*B943</f>
        <v>30337.3587412635</v>
      </c>
      <c r="H943" s="29" t="n">
        <f aca="false">MAX(0,'Visitor Economics'!$B$18*B943*C943*D943)</f>
        <v>750525.16421836</v>
      </c>
      <c r="I943" s="29" t="n">
        <f aca="false">H943*Controls!$B$52</f>
        <v>1065745.73319007</v>
      </c>
      <c r="J943" s="29" t="n">
        <f aca="false">'City Fiscal'!$B$5+(H943*Controls!$B$56*Controls!$B$55)+('City Fiscal'!$B$9*B943*F943)</f>
        <v>153589.309268047</v>
      </c>
      <c r="K943" s="29" t="n">
        <f aca="false">J943-('City Fiscal'!$B$13*E943)</f>
        <v>29462.9073254136</v>
      </c>
      <c r="L943" s="30" t="n">
        <f aca="false">'Mobility &amp; Emissions'!$B$21*B943*F943</f>
        <v>91.2787974594424</v>
      </c>
    </row>
    <row r="944" customFormat="false" ht="15" hidden="false" customHeight="true" outlineLevel="0" collapsed="false">
      <c r="A944" s="14" t="n">
        <v>940</v>
      </c>
      <c r="B944" s="47" t="n">
        <v>0.81866781607487</v>
      </c>
      <c r="C944" s="47" t="n">
        <v>0.886745786383861</v>
      </c>
      <c r="D944" s="47" t="n">
        <v>1.01238949939028</v>
      </c>
      <c r="E944" s="47" t="n">
        <v>0.924281829673247</v>
      </c>
      <c r="F944" s="47" t="n">
        <v>1.06688862893683</v>
      </c>
      <c r="G944" s="27" t="n">
        <f aca="false">'Visitor Economics'!$B$5*B944</f>
        <v>26361.1036776108</v>
      </c>
      <c r="H944" s="29" t="n">
        <f aca="false">MAX(0,'Visitor Economics'!$B$18*B944*C944*D944)</f>
        <v>531801.003503618</v>
      </c>
      <c r="I944" s="29" t="n">
        <f aca="false">H944*Controls!$B$52</f>
        <v>755157.424975137</v>
      </c>
      <c r="J944" s="29" t="n">
        <f aca="false">'City Fiscal'!$B$5+(H944*Controls!$B$56*Controls!$B$55)+('City Fiscal'!$B$9*B944*F944)</f>
        <v>141080.687049268</v>
      </c>
      <c r="K944" s="29" t="n">
        <f aca="false">J944-('City Fiscal'!$B$13*E944)</f>
        <v>39409.6857852109</v>
      </c>
      <c r="L944" s="30" t="n">
        <f aca="false">'Mobility &amp; Emissions'!$B$21*B944*F944</f>
        <v>81.5184625609769</v>
      </c>
    </row>
    <row r="945" customFormat="false" ht="15" hidden="false" customHeight="true" outlineLevel="0" collapsed="false">
      <c r="A945" s="14" t="n">
        <v>941</v>
      </c>
      <c r="B945" s="47" t="n">
        <v>0.955470936780393</v>
      </c>
      <c r="C945" s="47" t="n">
        <v>0.975624548192115</v>
      </c>
      <c r="D945" s="47" t="n">
        <v>1.02197861942353</v>
      </c>
      <c r="E945" s="47" t="n">
        <v>1.00083890753169</v>
      </c>
      <c r="F945" s="47" t="n">
        <v>0.968395523564027</v>
      </c>
      <c r="G945" s="27" t="n">
        <f aca="false">'Visitor Economics'!$B$5*B945</f>
        <v>30766.1641643287</v>
      </c>
      <c r="H945" s="29" t="n">
        <f aca="false">MAX(0,'Visitor Economics'!$B$18*B945*C945*D945)</f>
        <v>689345.080069036</v>
      </c>
      <c r="I945" s="29" t="n">
        <f aca="false">H945*Controls!$B$52</f>
        <v>978870.013698031</v>
      </c>
      <c r="J945" s="29" t="n">
        <f aca="false">'City Fiscal'!$B$5+(H945*Controls!$B$56*Controls!$B$55)+('City Fiscal'!$B$9*B945*F945)</f>
        <v>147600.336429117</v>
      </c>
      <c r="K945" s="29" t="n">
        <f aca="false">J945-('City Fiscal'!$B$13*E945)</f>
        <v>37508.0566006313</v>
      </c>
      <c r="L945" s="30" t="n">
        <f aca="false">'Mobility &amp; Emissions'!$B$21*B945*F945</f>
        <v>86.3573746730374</v>
      </c>
    </row>
    <row r="946" customFormat="false" ht="15" hidden="false" customHeight="true" outlineLevel="0" collapsed="false">
      <c r="A946" s="14" t="n">
        <v>942</v>
      </c>
      <c r="B946" s="47" t="n">
        <v>0.87533519811696</v>
      </c>
      <c r="C946" s="47" t="n">
        <v>0.985218037756172</v>
      </c>
      <c r="D946" s="47" t="n">
        <v>1.01713469558562</v>
      </c>
      <c r="E946" s="47" t="n">
        <v>0.842429890771023</v>
      </c>
      <c r="F946" s="47" t="n">
        <v>1.03429563534594</v>
      </c>
      <c r="G946" s="27" t="n">
        <f aca="false">'Visitor Economics'!$B$5*B946</f>
        <v>28185.7933793661</v>
      </c>
      <c r="H946" s="29" t="n">
        <f aca="false">MAX(0,'Visitor Economics'!$B$18*B946*C946*D946)</f>
        <v>634716.641456875</v>
      </c>
      <c r="I946" s="29" t="n">
        <f aca="false">H946*Controls!$B$52</f>
        <v>901297.630868762</v>
      </c>
      <c r="J946" s="29" t="n">
        <f aca="false">'City Fiscal'!$B$5+(H946*Controls!$B$56*Controls!$B$55)+('City Fiscal'!$B$9*B946*F946)</f>
        <v>145133.823201881</v>
      </c>
      <c r="K946" s="29" t="n">
        <f aca="false">J946-('City Fiscal'!$B$13*E946)</f>
        <v>52466.5352170689</v>
      </c>
      <c r="L946" s="30" t="n">
        <f aca="false">'Mobility &amp; Emissions'!$B$21*B946*F946</f>
        <v>84.498356241412</v>
      </c>
    </row>
    <row r="947" customFormat="false" ht="15" hidden="false" customHeight="true" outlineLevel="0" collapsed="false">
      <c r="A947" s="14" t="n">
        <v>943</v>
      </c>
      <c r="B947" s="47" t="n">
        <v>0.924313010288755</v>
      </c>
      <c r="C947" s="47" t="n">
        <v>0.992728110045817</v>
      </c>
      <c r="D947" s="47" t="n">
        <v>0.864772047279749</v>
      </c>
      <c r="E947" s="47" t="n">
        <v>1.09709071316627</v>
      </c>
      <c r="F947" s="47" t="n">
        <v>1.06163994114986</v>
      </c>
      <c r="G947" s="27" t="n">
        <f aca="false">'Visitor Economics'!$B$5*B947</f>
        <v>29762.8789312979</v>
      </c>
      <c r="H947" s="29" t="n">
        <f aca="false">MAX(0,'Visitor Economics'!$B$18*B947*C947*D947)</f>
        <v>574176.876286084</v>
      </c>
      <c r="I947" s="29" t="n">
        <f aca="false">H947*Controls!$B$52</f>
        <v>815331.164326239</v>
      </c>
      <c r="J947" s="29" t="n">
        <f aca="false">'City Fiscal'!$B$5+(H947*Controls!$B$56*Controls!$B$55)+('City Fiscal'!$B$9*B947*F947)</f>
        <v>152794.803449195</v>
      </c>
      <c r="K947" s="29" t="n">
        <f aca="false">J947-('City Fiscal'!$B$13*E947)</f>
        <v>32114.8250009051</v>
      </c>
      <c r="L947" s="30" t="n">
        <f aca="false">'Mobility &amp; Emissions'!$B$21*B947*F947</f>
        <v>91.5852408159576</v>
      </c>
    </row>
    <row r="948" customFormat="false" ht="15" hidden="false" customHeight="true" outlineLevel="0" collapsed="false">
      <c r="A948" s="14" t="n">
        <v>944</v>
      </c>
      <c r="B948" s="47" t="n">
        <v>0.888830142883302</v>
      </c>
      <c r="C948" s="47" t="n">
        <v>0.986358047596141</v>
      </c>
      <c r="D948" s="47" t="n">
        <v>0.975464318994542</v>
      </c>
      <c r="E948" s="47" t="n">
        <v>0.881897495910578</v>
      </c>
      <c r="F948" s="47" t="n">
        <v>0.935249633430297</v>
      </c>
      <c r="G948" s="27" t="n">
        <f aca="false">'Visitor Economics'!$B$5*B948</f>
        <v>28620.3306008423</v>
      </c>
      <c r="H948" s="29" t="n">
        <f aca="false">MAX(0,'Visitor Economics'!$B$18*B948*C948*D948)</f>
        <v>618812.993853902</v>
      </c>
      <c r="I948" s="29" t="n">
        <f aca="false">H948*Controls!$B$52</f>
        <v>878714.451272541</v>
      </c>
      <c r="J948" s="29" t="n">
        <f aca="false">'City Fiscal'!$B$5+(H948*Controls!$B$56*Controls!$B$55)+('City Fiscal'!$B$9*B948*F948)</f>
        <v>137174.220709732</v>
      </c>
      <c r="K948" s="29" t="n">
        <f aca="false">J948-('City Fiscal'!$B$13*E948)</f>
        <v>40165.496159568</v>
      </c>
      <c r="L948" s="30" t="n">
        <f aca="false">'Mobility &amp; Emissions'!$B$21*B948*F948</f>
        <v>77.5845950084113</v>
      </c>
    </row>
    <row r="949" customFormat="false" ht="15" hidden="false" customHeight="true" outlineLevel="0" collapsed="false">
      <c r="A949" s="14" t="n">
        <v>945</v>
      </c>
      <c r="B949" s="47" t="n">
        <v>0.963608511280513</v>
      </c>
      <c r="C949" s="47" t="n">
        <v>0.942633600615818</v>
      </c>
      <c r="D949" s="47" t="n">
        <v>1.01663065754046</v>
      </c>
      <c r="E949" s="47" t="n">
        <v>1.06583634994929</v>
      </c>
      <c r="F949" s="47" t="n">
        <v>0.91451743950282</v>
      </c>
      <c r="G949" s="27" t="n">
        <f aca="false">'Visitor Economics'!$B$5*B949</f>
        <v>31028.1940632325</v>
      </c>
      <c r="H949" s="29" t="n">
        <f aca="false">MAX(0,'Visitor Economics'!$B$18*B949*C949*D949)</f>
        <v>668192.221096323</v>
      </c>
      <c r="I949" s="29" t="n">
        <f aca="false">H949*Controls!$B$52</f>
        <v>948832.953956779</v>
      </c>
      <c r="J949" s="29" t="n">
        <f aca="false">'City Fiscal'!$B$5+(H949*Controls!$B$56*Controls!$B$55)+('City Fiscal'!$B$9*B949*F949)</f>
        <v>142792.757826478</v>
      </c>
      <c r="K949" s="29" t="n">
        <f aca="false">J949-('City Fiscal'!$B$13*E949)</f>
        <v>25550.7593320561</v>
      </c>
      <c r="L949" s="30" t="n">
        <f aca="false">'Mobility &amp; Emissions'!$B$21*B949*F949</f>
        <v>82.247327565721</v>
      </c>
    </row>
    <row r="950" customFormat="false" ht="15" hidden="false" customHeight="true" outlineLevel="0" collapsed="false">
      <c r="A950" s="14" t="n">
        <v>946</v>
      </c>
      <c r="B950" s="47" t="n">
        <v>0.891121555064713</v>
      </c>
      <c r="C950" s="47" t="n">
        <v>0.969248115565993</v>
      </c>
      <c r="D950" s="47" t="n">
        <v>0.875118347336358</v>
      </c>
      <c r="E950" s="47" t="n">
        <v>1.11783060112114</v>
      </c>
      <c r="F950" s="47" t="n">
        <v>0.924246212024588</v>
      </c>
      <c r="G950" s="27" t="n">
        <f aca="false">'Visitor Economics'!$B$5*B950</f>
        <v>28694.1140730838</v>
      </c>
      <c r="H950" s="29" t="n">
        <f aca="false">MAX(0,'Visitor Economics'!$B$18*B950*C950*D950)</f>
        <v>546932.049051414</v>
      </c>
      <c r="I950" s="29" t="n">
        <f aca="false">H950*Controls!$B$52</f>
        <v>776643.509653007</v>
      </c>
      <c r="J950" s="29" t="n">
        <f aca="false">'City Fiscal'!$B$5+(H950*Controls!$B$56*Controls!$B$55)+('City Fiscal'!$B$9*B950*F950)</f>
        <v>135895.773604039</v>
      </c>
      <c r="K950" s="29" t="n">
        <f aca="false">J950-('City Fiscal'!$B$13*E950)</f>
        <v>12934.4074807132</v>
      </c>
      <c r="L950" s="30" t="n">
        <f aca="false">'Mobility &amp; Emissions'!$B$21*B950*F950</f>
        <v>76.8694554550432</v>
      </c>
    </row>
    <row r="951" customFormat="false" ht="15" hidden="false" customHeight="true" outlineLevel="0" collapsed="false">
      <c r="A951" s="14" t="n">
        <v>947</v>
      </c>
      <c r="B951" s="47" t="n">
        <v>0.837820411620811</v>
      </c>
      <c r="C951" s="47" t="n">
        <v>1.0189752505571</v>
      </c>
      <c r="D951" s="47" t="n">
        <v>1.057461042903</v>
      </c>
      <c r="E951" s="47" t="n">
        <v>0.896948684199277</v>
      </c>
      <c r="F951" s="47" t="n">
        <v>1.07425371296228</v>
      </c>
      <c r="G951" s="27" t="n">
        <f aca="false">'Visitor Economics'!$B$5*B951</f>
        <v>26977.8172541901</v>
      </c>
      <c r="H951" s="29" t="n">
        <f aca="false">MAX(0,'Visitor Economics'!$B$18*B951*C951*D951)</f>
        <v>653241.276689263</v>
      </c>
      <c r="I951" s="29" t="n">
        <f aca="false">H951*Controls!$B$52</f>
        <v>927602.612898753</v>
      </c>
      <c r="J951" s="29" t="n">
        <f aca="false">'City Fiscal'!$B$5+(H951*Controls!$B$56*Controls!$B$55)+('City Fiscal'!$B$9*B951*F951)</f>
        <v>144689.239260415</v>
      </c>
      <c r="K951" s="29" t="n">
        <f aca="false">J951-('City Fiscal'!$B$13*E951)</f>
        <v>46024.8839984944</v>
      </c>
      <c r="L951" s="30" t="n">
        <f aca="false">'Mobility &amp; Emissions'!$B$21*B951*F951</f>
        <v>84.0014874929722</v>
      </c>
    </row>
    <row r="952" customFormat="false" ht="15" hidden="false" customHeight="true" outlineLevel="0" collapsed="false">
      <c r="A952" s="14" t="n">
        <v>948</v>
      </c>
      <c r="B952" s="47" t="n">
        <v>0.894399300697163</v>
      </c>
      <c r="C952" s="47" t="n">
        <v>0.949695797927304</v>
      </c>
      <c r="D952" s="47" t="n">
        <v>1.05624435492095</v>
      </c>
      <c r="E952" s="47" t="n">
        <v>1.1306528173772</v>
      </c>
      <c r="F952" s="47" t="n">
        <v>0.960532800561643</v>
      </c>
      <c r="G952" s="27" t="n">
        <f aca="false">'Visitor Economics'!$B$5*B952</f>
        <v>28799.6574824487</v>
      </c>
      <c r="H952" s="29" t="n">
        <f aca="false">MAX(0,'Visitor Economics'!$B$18*B952*C952*D952)</f>
        <v>649194.807976075</v>
      </c>
      <c r="I952" s="29" t="n">
        <f aca="false">H952*Controls!$B$52</f>
        <v>921856.627326026</v>
      </c>
      <c r="J952" s="29" t="n">
        <f aca="false">'City Fiscal'!$B$5+(H952*Controls!$B$56*Controls!$B$55)+('City Fiscal'!$B$9*B952*F952)</f>
        <v>140321.840175377</v>
      </c>
      <c r="K952" s="29" t="n">
        <f aca="false">J952-('City Fiscal'!$B$13*E952)</f>
        <v>15950.030263885</v>
      </c>
      <c r="L952" s="30" t="n">
        <f aca="false">'Mobility &amp; Emissions'!$B$21*B952*F952</f>
        <v>80.181250881329</v>
      </c>
    </row>
    <row r="953" customFormat="false" ht="15" hidden="false" customHeight="true" outlineLevel="0" collapsed="false">
      <c r="A953" s="14" t="n">
        <v>949</v>
      </c>
      <c r="B953" s="47" t="n">
        <v>0.836348913032995</v>
      </c>
      <c r="C953" s="47" t="n">
        <v>1.1105131670195</v>
      </c>
      <c r="D953" s="47" t="n">
        <v>0.920716381420217</v>
      </c>
      <c r="E953" s="47" t="n">
        <v>1.12710268513918</v>
      </c>
      <c r="F953" s="47" t="n">
        <v>0.996124946535491</v>
      </c>
      <c r="G953" s="27" t="n">
        <f aca="false">'Visitor Economics'!$B$5*B953</f>
        <v>26930.4349996624</v>
      </c>
      <c r="H953" s="29" t="n">
        <f aca="false">MAX(0,'Visitor Economics'!$B$18*B953*C953*D953)</f>
        <v>618773.56090402</v>
      </c>
      <c r="I953" s="29" t="n">
        <f aca="false">H953*Controls!$B$52</f>
        <v>878658.456483708</v>
      </c>
      <c r="J953" s="29" t="n">
        <f aca="false">'City Fiscal'!$B$5+(H953*Controls!$B$56*Controls!$B$55)+('City Fiscal'!$B$9*B953*F953)</f>
        <v>137368.047496295</v>
      </c>
      <c r="K953" s="29" t="n">
        <f aca="false">J953-('City Fiscal'!$B$13*E953)</f>
        <v>13386.7521309856</v>
      </c>
      <c r="L953" s="30" t="n">
        <f aca="false">'Mobility &amp; Emissions'!$B$21*B953*F953</f>
        <v>77.7553874430408</v>
      </c>
    </row>
    <row r="954" customFormat="false" ht="15" hidden="false" customHeight="true" outlineLevel="0" collapsed="false">
      <c r="A954" s="14" t="n">
        <v>950</v>
      </c>
      <c r="B954" s="47" t="n">
        <v>1.00490033112946</v>
      </c>
      <c r="C954" s="47" t="n">
        <v>0.980913019982847</v>
      </c>
      <c r="D954" s="47" t="n">
        <v>0.990000238095103</v>
      </c>
      <c r="E954" s="47" t="n">
        <v>0.871674945573266</v>
      </c>
      <c r="F954" s="47" t="n">
        <v>0.969153262649413</v>
      </c>
      <c r="G954" s="27" t="n">
        <f aca="false">'Visitor Economics'!$B$5*B954</f>
        <v>32357.7906623686</v>
      </c>
      <c r="H954" s="29" t="n">
        <f aca="false">MAX(0,'Visitor Economics'!$B$18*B954*C954*D954)</f>
        <v>706128.039334288</v>
      </c>
      <c r="I954" s="29" t="n">
        <f aca="false">H954*Controls!$B$52</f>
        <v>1002701.81585469</v>
      </c>
      <c r="J954" s="29" t="n">
        <f aca="false">'City Fiscal'!$B$5+(H954*Controls!$B$56*Controls!$B$55)+('City Fiscal'!$B$9*B954*F954)</f>
        <v>152866.584525385</v>
      </c>
      <c r="K954" s="29" t="n">
        <f aca="false">J954-('City Fiscal'!$B$13*E954)</f>
        <v>56982.3405123256</v>
      </c>
      <c r="L954" s="30" t="n">
        <f aca="false">'Mobility &amp; Emissions'!$B$21*B954*F954</f>
        <v>90.8959698508388</v>
      </c>
    </row>
    <row r="955" customFormat="false" ht="15" hidden="false" customHeight="true" outlineLevel="0" collapsed="false">
      <c r="A955" s="14" t="n">
        <v>951</v>
      </c>
      <c r="B955" s="47" t="n">
        <v>0.88758810343156</v>
      </c>
      <c r="C955" s="47" t="n">
        <v>0.902975900115636</v>
      </c>
      <c r="D955" s="47" t="n">
        <v>1.02904468777601</v>
      </c>
      <c r="E955" s="47" t="n">
        <v>1.02678205717282</v>
      </c>
      <c r="F955" s="47" t="n">
        <v>0.994265380462535</v>
      </c>
      <c r="G955" s="27" t="n">
        <f aca="false">'Visitor Economics'!$B$5*B955</f>
        <v>28580.3369304962</v>
      </c>
      <c r="H955" s="29" t="n">
        <f aca="false">MAX(0,'Visitor Economics'!$B$18*B955*C955*D955)</f>
        <v>596783.128294579</v>
      </c>
      <c r="I955" s="29" t="n">
        <f aca="false">H955*Controls!$B$52</f>
        <v>847432.042178302</v>
      </c>
      <c r="J955" s="29" t="n">
        <f aca="false">'City Fiscal'!$B$5+(H955*Controls!$B$56*Controls!$B$55)+('City Fiscal'!$B$9*B955*F955)</f>
        <v>142463.80251145</v>
      </c>
      <c r="K955" s="29" t="n">
        <f aca="false">J955-('City Fiscal'!$B$13*E955)</f>
        <v>29517.77622244</v>
      </c>
      <c r="L955" s="30" t="n">
        <f aca="false">'Mobility &amp; Emissions'!$B$21*B955*F955</f>
        <v>82.3650500992892</v>
      </c>
    </row>
    <row r="956" customFormat="false" ht="15" hidden="false" customHeight="true" outlineLevel="0" collapsed="false">
      <c r="A956" s="14" t="n">
        <v>952</v>
      </c>
      <c r="B956" s="47" t="n">
        <v>0.947584532039073</v>
      </c>
      <c r="C956" s="47" t="n">
        <v>0.975797946071185</v>
      </c>
      <c r="D956" s="47" t="n">
        <v>0.939649929533339</v>
      </c>
      <c r="E956" s="47" t="n">
        <v>0.888430256465981</v>
      </c>
      <c r="F956" s="47" t="n">
        <v>0.94778803607804</v>
      </c>
      <c r="G956" s="27" t="n">
        <f aca="false">'Visitor Economics'!$B$5*B956</f>
        <v>30512.2219316582</v>
      </c>
      <c r="H956" s="29" t="n">
        <f aca="false">MAX(0,'Visitor Economics'!$B$18*B956*C956*D956)</f>
        <v>628692.989516206</v>
      </c>
      <c r="I956" s="29" t="n">
        <f aca="false">H956*Controls!$B$52</f>
        <v>892744.045113012</v>
      </c>
      <c r="J956" s="29" t="n">
        <f aca="false">'City Fiscal'!$B$5+(H956*Controls!$B$56*Controls!$B$55)+('City Fiscal'!$B$9*B956*F956)</f>
        <v>144326.27845218</v>
      </c>
      <c r="K956" s="29" t="n">
        <f aca="false">J956-('City Fiscal'!$B$13*E956)</f>
        <v>46598.9502409218</v>
      </c>
      <c r="L956" s="30" t="n">
        <f aca="false">'Mobility &amp; Emissions'!$B$21*B956*F956</f>
        <v>83.8220661345009</v>
      </c>
    </row>
    <row r="957" customFormat="false" ht="15" hidden="false" customHeight="true" outlineLevel="0" collapsed="false">
      <c r="A957" s="14" t="n">
        <v>953</v>
      </c>
      <c r="B957" s="47" t="n">
        <v>0.866074386434061</v>
      </c>
      <c r="C957" s="47" t="n">
        <v>1.10250714431546</v>
      </c>
      <c r="D957" s="47" t="n">
        <v>0.973336752843323</v>
      </c>
      <c r="E957" s="47" t="n">
        <v>1.19273962976019</v>
      </c>
      <c r="F957" s="47" t="n">
        <v>1.11059822339031</v>
      </c>
      <c r="G957" s="27" t="n">
        <f aca="false">'Visitor Economics'!$B$5*B957</f>
        <v>27887.5952431768</v>
      </c>
      <c r="H957" s="29" t="n">
        <f aca="false">MAX(0,'Visitor Economics'!$B$18*B957*C957*D957)</f>
        <v>672503.268259342</v>
      </c>
      <c r="I957" s="29" t="n">
        <f aca="false">H957*Controls!$B$52</f>
        <v>954954.640928265</v>
      </c>
      <c r="J957" s="29" t="n">
        <f aca="false">'City Fiscal'!$B$5+(H957*Controls!$B$56*Controls!$B$55)+('City Fiscal'!$B$9*B957*F957)</f>
        <v>151371.562032108</v>
      </c>
      <c r="K957" s="29" t="n">
        <f aca="false">J957-('City Fiscal'!$B$13*E957)</f>
        <v>20170.2027584871</v>
      </c>
      <c r="L957" s="30" t="n">
        <f aca="false">'Mobility &amp; Emissions'!$B$21*B957*F957</f>
        <v>89.772091951333</v>
      </c>
    </row>
    <row r="958" customFormat="false" ht="15" hidden="false" customHeight="true" outlineLevel="0" collapsed="false">
      <c r="A958" s="14" t="n">
        <v>954</v>
      </c>
      <c r="B958" s="47" t="n">
        <v>0.853206557083365</v>
      </c>
      <c r="C958" s="47" t="n">
        <v>1.07490011086488</v>
      </c>
      <c r="D958" s="47" t="n">
        <v>1.04135257010929</v>
      </c>
      <c r="E958" s="47" t="n">
        <v>1.03140505495323</v>
      </c>
      <c r="F958" s="47" t="n">
        <v>0.978423128758024</v>
      </c>
      <c r="G958" s="27" t="n">
        <f aca="false">'Visitor Economics'!$B$5*B958</f>
        <v>27473.2511380844</v>
      </c>
      <c r="H958" s="29" t="n">
        <f aca="false">MAX(0,'Visitor Economics'!$B$18*B958*C958*D958)</f>
        <v>691058.407330321</v>
      </c>
      <c r="I958" s="29" t="n">
        <f aca="false">H958*Controls!$B$52</f>
        <v>981302.938409056</v>
      </c>
      <c r="J958" s="29" t="n">
        <f aca="false">'City Fiscal'!$B$5+(H958*Controls!$B$56*Controls!$B$55)+('City Fiscal'!$B$9*B958*F958)</f>
        <v>138015.587885145</v>
      </c>
      <c r="K958" s="29" t="n">
        <f aca="false">J958-('City Fiscal'!$B$13*E958)</f>
        <v>24561.0318402893</v>
      </c>
      <c r="L958" s="30" t="n">
        <f aca="false">'Mobility &amp; Emissions'!$B$21*B958*F958</f>
        <v>77.9130258769669</v>
      </c>
    </row>
    <row r="959" customFormat="false" ht="15" hidden="false" customHeight="true" outlineLevel="0" collapsed="false">
      <c r="A959" s="14" t="n">
        <v>955</v>
      </c>
      <c r="B959" s="47" t="n">
        <v>0.990810960961347</v>
      </c>
      <c r="C959" s="47" t="n">
        <v>0.99735557504629</v>
      </c>
      <c r="D959" s="47" t="n">
        <v>0.792453915047085</v>
      </c>
      <c r="E959" s="47" t="n">
        <v>1.15191202927984</v>
      </c>
      <c r="F959" s="47" t="n">
        <v>1.00746053178155</v>
      </c>
      <c r="G959" s="27" t="n">
        <f aca="false">'Visitor Economics'!$B$5*B959</f>
        <v>31904.1129429554</v>
      </c>
      <c r="H959" s="29" t="n">
        <f aca="false">MAX(0,'Visitor Economics'!$B$18*B959*C959*D959)</f>
        <v>566642.972374994</v>
      </c>
      <c r="I959" s="29" t="n">
        <f aca="false">H959*Controls!$B$52</f>
        <v>804633.020772492</v>
      </c>
      <c r="J959" s="29" t="n">
        <f aca="false">'City Fiscal'!$B$5+(H959*Controls!$B$56*Controls!$B$55)+('City Fiscal'!$B$9*B959*F959)</f>
        <v>154540.002271837</v>
      </c>
      <c r="K959" s="29" t="n">
        <f aca="false">J959-('City Fiscal'!$B$13*E959)</f>
        <v>27829.6790510544</v>
      </c>
      <c r="L959" s="30" t="n">
        <f aca="false">'Mobility &amp; Emissions'!$B$21*B959*F959</f>
        <v>93.1639771135452</v>
      </c>
    </row>
    <row r="960" customFormat="false" ht="15" hidden="false" customHeight="true" outlineLevel="0" collapsed="false">
      <c r="A960" s="14" t="n">
        <v>956</v>
      </c>
      <c r="B960" s="47" t="n">
        <v>0.888210905180578</v>
      </c>
      <c r="C960" s="47" t="n">
        <v>1.04518021651996</v>
      </c>
      <c r="D960" s="47" t="n">
        <v>0.993176687280763</v>
      </c>
      <c r="E960" s="47" t="n">
        <v>1.16869040647009</v>
      </c>
      <c r="F960" s="47" t="n">
        <v>0.924548641838735</v>
      </c>
      <c r="G960" s="27" t="n">
        <f aca="false">'Visitor Economics'!$B$5*B960</f>
        <v>28600.3911468146</v>
      </c>
      <c r="H960" s="29" t="n">
        <f aca="false">MAX(0,'Visitor Economics'!$B$18*B960*C960*D960)</f>
        <v>667157.646708912</v>
      </c>
      <c r="I960" s="29" t="n">
        <f aca="false">H960*Controls!$B$52</f>
        <v>947363.858326654</v>
      </c>
      <c r="J960" s="29" t="n">
        <f aca="false">'City Fiscal'!$B$5+(H960*Controls!$B$56*Controls!$B$55)+('City Fiscal'!$B$9*B960*F960)</f>
        <v>136418.010430516</v>
      </c>
      <c r="K960" s="29" t="n">
        <f aca="false">J960-('City Fiscal'!$B$13*E960)</f>
        <v>7862.06571880636</v>
      </c>
      <c r="L960" s="30" t="n">
        <f aca="false">'Mobility &amp; Emissions'!$B$21*B960*F960</f>
        <v>76.6434494142614</v>
      </c>
    </row>
    <row r="961" customFormat="false" ht="15" hidden="false" customHeight="true" outlineLevel="0" collapsed="false">
      <c r="A961" s="14" t="n">
        <v>957</v>
      </c>
      <c r="B961" s="47" t="n">
        <v>1.00010025125787</v>
      </c>
      <c r="C961" s="47" t="n">
        <v>1.02831575926038</v>
      </c>
      <c r="D961" s="47" t="n">
        <v>0.955684091482411</v>
      </c>
      <c r="E961" s="47" t="n">
        <v>0.940788658407981</v>
      </c>
      <c r="F961" s="47" t="n">
        <v>0.986903250509256</v>
      </c>
      <c r="G961" s="27" t="n">
        <f aca="false">'Visitor Economics'!$B$5*B961</f>
        <v>32203.2280905034</v>
      </c>
      <c r="H961" s="29" t="n">
        <f aca="false">MAX(0,'Visitor Economics'!$B$18*B961*C961*D961)</f>
        <v>711179.213047589</v>
      </c>
      <c r="I961" s="29" t="n">
        <f aca="false">H961*Controls!$B$52</f>
        <v>1009874.48252758</v>
      </c>
      <c r="J961" s="29" t="n">
        <f aca="false">'City Fiscal'!$B$5+(H961*Controls!$B$56*Controls!$B$55)+('City Fiscal'!$B$9*B961*F961)</f>
        <v>154288.659692101</v>
      </c>
      <c r="K961" s="29" t="n">
        <f aca="false">J961-('City Fiscal'!$B$13*E961)</f>
        <v>50801.9072672232</v>
      </c>
      <c r="L961" s="30" t="n">
        <f aca="false">'Mobility &amp; Emissions'!$B$21*B961*F961</f>
        <v>92.1185921845664</v>
      </c>
    </row>
    <row r="962" customFormat="false" ht="15" hidden="false" customHeight="true" outlineLevel="0" collapsed="false">
      <c r="A962" s="14" t="n">
        <v>958</v>
      </c>
      <c r="B962" s="47" t="n">
        <v>0.937223191653701</v>
      </c>
      <c r="C962" s="47" t="n">
        <v>1.00143356292778</v>
      </c>
      <c r="D962" s="47" t="n">
        <v>0.903496963525424</v>
      </c>
      <c r="E962" s="47" t="n">
        <v>1.19464884825047</v>
      </c>
      <c r="F962" s="47" t="n">
        <v>0.970280921180377</v>
      </c>
      <c r="G962" s="27" t="n">
        <f aca="false">'Visitor Economics'!$B$5*B962</f>
        <v>30178.5867712492</v>
      </c>
      <c r="H962" s="29" t="n">
        <f aca="false">MAX(0,'Visitor Economics'!$B$18*B962*C962*D962)</f>
        <v>613601.674654769</v>
      </c>
      <c r="I962" s="29" t="n">
        <f aca="false">H962*Controls!$B$52</f>
        <v>871314.378009772</v>
      </c>
      <c r="J962" s="29" t="n">
        <f aca="false">'City Fiscal'!$B$5+(H962*Controls!$B$56*Controls!$B$55)+('City Fiscal'!$B$9*B962*F962)</f>
        <v>145422.761191874</v>
      </c>
      <c r="K962" s="29" t="n">
        <f aca="false">J962-('City Fiscal'!$B$13*E962)</f>
        <v>14011.3878843218</v>
      </c>
      <c r="L962" s="30" t="n">
        <f aca="false">'Mobility &amp; Emissions'!$B$21*B962*F962</f>
        <v>84.8730276592973</v>
      </c>
    </row>
    <row r="963" customFormat="false" ht="15" hidden="false" customHeight="true" outlineLevel="0" collapsed="false">
      <c r="A963" s="14" t="n">
        <v>959</v>
      </c>
      <c r="B963" s="47" t="n">
        <v>0.854118823520075</v>
      </c>
      <c r="C963" s="47" t="n">
        <v>0.950318839773841</v>
      </c>
      <c r="D963" s="47" t="n">
        <v>1.07370833825731</v>
      </c>
      <c r="E963" s="47" t="n">
        <v>1.03239083199461</v>
      </c>
      <c r="F963" s="47" t="n">
        <v>0.99658615214269</v>
      </c>
      <c r="G963" s="27" t="n">
        <f aca="false">'Visitor Economics'!$B$5*B963</f>
        <v>27502.6261173464</v>
      </c>
      <c r="H963" s="29" t="n">
        <f aca="false">MAX(0,'Visitor Economics'!$B$18*B963*C963*D963)</f>
        <v>630621.288610517</v>
      </c>
      <c r="I963" s="29" t="n">
        <f aca="false">H963*Controls!$B$52</f>
        <v>895482.229826934</v>
      </c>
      <c r="J963" s="29" t="n">
        <f aca="false">'City Fiscal'!$B$5+(H963*Controls!$B$56*Controls!$B$55)+('City Fiscal'!$B$9*B963*F963)</f>
        <v>139363.951257243</v>
      </c>
      <c r="K963" s="29" t="n">
        <f aca="false">J963-('City Fiscal'!$B$13*E963)</f>
        <v>25800.9597378359</v>
      </c>
      <c r="L963" s="30" t="n">
        <f aca="false">'Mobility &amp; Emissions'!$B$21*B963*F963</f>
        <v>79.4442222702013</v>
      </c>
    </row>
    <row r="964" customFormat="false" ht="15" hidden="false" customHeight="true" outlineLevel="0" collapsed="false">
      <c r="A964" s="14" t="n">
        <v>960</v>
      </c>
      <c r="B964" s="47" t="n">
        <v>0.955285241250546</v>
      </c>
      <c r="C964" s="47" t="n">
        <v>1.03762281869352</v>
      </c>
      <c r="D964" s="47" t="n">
        <v>0.939973435294739</v>
      </c>
      <c r="E964" s="47" t="n">
        <v>1.21977170199962</v>
      </c>
      <c r="F964" s="47" t="n">
        <v>0.993953117368121</v>
      </c>
      <c r="G964" s="27" t="n">
        <f aca="false">'Visitor Economics'!$B$5*B964</f>
        <v>30760.1847682676</v>
      </c>
      <c r="H964" s="29" t="n">
        <f aca="false">MAX(0,'Visitor Economics'!$B$18*B964*C964*D964)</f>
        <v>674190.815312483</v>
      </c>
      <c r="I964" s="29" t="n">
        <f aca="false">H964*Controls!$B$52</f>
        <v>957350.957743726</v>
      </c>
      <c r="J964" s="29" t="n">
        <f aca="false">'City Fiscal'!$B$5+(H964*Controls!$B$56*Controls!$B$55)+('City Fiscal'!$B$9*B964*F964)</f>
        <v>150072.466934681</v>
      </c>
      <c r="K964" s="29" t="n">
        <f aca="false">J964-('City Fiscal'!$B$13*E964)</f>
        <v>15897.5797147225</v>
      </c>
      <c r="L964" s="30" t="n">
        <f aca="false">'Mobility &amp; Emissions'!$B$21*B964*F964</f>
        <v>88.6192651972811</v>
      </c>
    </row>
    <row r="965" customFormat="false" ht="15" hidden="false" customHeight="true" outlineLevel="0" collapsed="false">
      <c r="A965" s="14" t="n">
        <v>961</v>
      </c>
      <c r="B965" s="47" t="n">
        <v>0.94692469637422</v>
      </c>
      <c r="C965" s="47" t="n">
        <v>0.915671312314612</v>
      </c>
      <c r="D965" s="47" t="n">
        <v>1.03011082336777</v>
      </c>
      <c r="E965" s="47" t="n">
        <v>0.925389278392064</v>
      </c>
      <c r="F965" s="47" t="n">
        <v>0.9370775516422</v>
      </c>
      <c r="G965" s="27" t="n">
        <f aca="false">'Visitor Economics'!$B$5*B965</f>
        <v>30490.9752232499</v>
      </c>
      <c r="H965" s="29" t="n">
        <f aca="false">MAX(0,'Visitor Economics'!$B$18*B965*C965*D965)</f>
        <v>646299.278878896</v>
      </c>
      <c r="I965" s="29" t="n">
        <f aca="false">H965*Controls!$B$52</f>
        <v>917744.976008032</v>
      </c>
      <c r="J965" s="29" t="n">
        <f aca="false">'City Fiscal'!$B$5+(H965*Controls!$B$56*Controls!$B$55)+('City Fiscal'!$B$9*B965*F965)</f>
        <v>143298.38952555</v>
      </c>
      <c r="K965" s="29" t="n">
        <f aca="false">J965-('City Fiscal'!$B$13*E965)</f>
        <v>41505.5689024233</v>
      </c>
      <c r="L965" s="30" t="n">
        <f aca="false">'Mobility &amp; Emissions'!$B$21*B965*F965</f>
        <v>82.8171257746053</v>
      </c>
    </row>
    <row r="966" customFormat="false" ht="15" hidden="false" customHeight="true" outlineLevel="0" collapsed="false">
      <c r="A966" s="14" t="n">
        <v>962</v>
      </c>
      <c r="B966" s="47" t="n">
        <v>0.794778362561529</v>
      </c>
      <c r="C966" s="47" t="n">
        <v>0.877628118136896</v>
      </c>
      <c r="D966" s="47" t="n">
        <v>1.01437582891393</v>
      </c>
      <c r="E966" s="47" t="n">
        <v>0.935883130782699</v>
      </c>
      <c r="F966" s="47" t="n">
        <v>0.919874888193113</v>
      </c>
      <c r="G966" s="27" t="n">
        <f aca="false">'Visitor Economics'!$B$5*B966</f>
        <v>25591.8632744812</v>
      </c>
      <c r="H966" s="29" t="n">
        <f aca="false">MAX(0,'Visitor Economics'!$B$18*B966*C966*D966)</f>
        <v>511976.616419235</v>
      </c>
      <c r="I966" s="29" t="n">
        <f aca="false">H966*Controls!$B$52</f>
        <v>727006.795315313</v>
      </c>
      <c r="J966" s="29" t="n">
        <f aca="false">'City Fiscal'!$B$5+(H966*Controls!$B$56*Controls!$B$55)+('City Fiscal'!$B$9*B966*F966)</f>
        <v>125856.806087376</v>
      </c>
      <c r="K966" s="29" t="n">
        <f aca="false">J966-('City Fiscal'!$B$13*E966)</f>
        <v>22909.6617012787</v>
      </c>
      <c r="L966" s="30" t="n">
        <f aca="false">'Mobility &amp; Emissions'!$B$21*B966*F966</f>
        <v>68.2344938994215</v>
      </c>
    </row>
    <row r="967" customFormat="false" ht="15" hidden="false" customHeight="true" outlineLevel="0" collapsed="false">
      <c r="A967" s="14" t="n">
        <v>963</v>
      </c>
      <c r="B967" s="47" t="n">
        <v>0.968735977528095</v>
      </c>
      <c r="C967" s="47" t="n">
        <v>0.883</v>
      </c>
      <c r="D967" s="47" t="n">
        <v>1.04648403011066</v>
      </c>
      <c r="E967" s="47" t="n">
        <v>0.987041012927963</v>
      </c>
      <c r="F967" s="47" t="n">
        <v>0.934720127478658</v>
      </c>
      <c r="G967" s="27" t="n">
        <f aca="false">'Visitor Economics'!$B$5*B967</f>
        <v>31193.2984764047</v>
      </c>
      <c r="H967" s="29" t="n">
        <f aca="false">MAX(0,'Visitor Economics'!$B$18*B967*C967*D967)</f>
        <v>647729.098151531</v>
      </c>
      <c r="I967" s="29" t="n">
        <f aca="false">H967*Controls!$B$52</f>
        <v>919775.319375174</v>
      </c>
      <c r="J967" s="29" t="n">
        <f aca="false">'City Fiscal'!$B$5+(H967*Controls!$B$56*Controls!$B$55)+('City Fiscal'!$B$9*B967*F967)</f>
        <v>145233.166245008</v>
      </c>
      <c r="K967" s="29" t="n">
        <f aca="false">J967-('City Fiscal'!$B$13*E967)</f>
        <v>36658.6548229317</v>
      </c>
      <c r="L967" s="30" t="n">
        <f aca="false">'Mobility &amp; Emissions'!$B$21*B967*F967</f>
        <v>84.5115758863074</v>
      </c>
    </row>
    <row r="968" customFormat="false" ht="15" hidden="false" customHeight="true" outlineLevel="0" collapsed="false">
      <c r="A968" s="14" t="n">
        <v>964</v>
      </c>
      <c r="B968" s="47" t="n">
        <v>0.955843940270618</v>
      </c>
      <c r="C968" s="47" t="n">
        <v>0.908639720216165</v>
      </c>
      <c r="D968" s="47" t="n">
        <v>0.821304963382141</v>
      </c>
      <c r="E968" s="47" t="n">
        <v>1.10878650914307</v>
      </c>
      <c r="F968" s="47" t="n">
        <v>0.920834313718706</v>
      </c>
      <c r="G968" s="27" t="n">
        <f aca="false">'Visitor Economics'!$B$5*B968</f>
        <v>30778.1748767139</v>
      </c>
      <c r="H968" s="29" t="n">
        <f aca="false">MAX(0,'Visitor Economics'!$B$18*B968*C968*D968)</f>
        <v>516152.251130416</v>
      </c>
      <c r="I968" s="29" t="n">
        <f aca="false">H968*Controls!$B$52</f>
        <v>732936.196605191</v>
      </c>
      <c r="J968" s="29" t="n">
        <f aca="false">'City Fiscal'!$B$5+(H968*Controls!$B$56*Controls!$B$55)+('City Fiscal'!$B$9*B968*F968)</f>
        <v>141694.810072573</v>
      </c>
      <c r="K968" s="29" t="n">
        <f aca="false">J968-('City Fiscal'!$B$13*E968)</f>
        <v>19728.2940668352</v>
      </c>
      <c r="L968" s="30" t="n">
        <f aca="false">'Mobility &amp; Emissions'!$B$21*B968*F968</f>
        <v>82.148126267018</v>
      </c>
    </row>
    <row r="969" customFormat="false" ht="15" hidden="false" customHeight="true" outlineLevel="0" collapsed="false">
      <c r="A969" s="14" t="n">
        <v>965</v>
      </c>
      <c r="B969" s="47" t="n">
        <v>0.877771161392304</v>
      </c>
      <c r="C969" s="47" t="n">
        <v>1.04566292983982</v>
      </c>
      <c r="D969" s="47" t="n">
        <v>1.01967143034352</v>
      </c>
      <c r="E969" s="47" t="n">
        <v>1.08622805490561</v>
      </c>
      <c r="F969" s="47" t="n">
        <v>1.01558459909668</v>
      </c>
      <c r="G969" s="27" t="n">
        <f aca="false">'Visitor Economics'!$B$5*B969</f>
        <v>28264.2313968322</v>
      </c>
      <c r="H969" s="29" t="n">
        <f aca="false">MAX(0,'Visitor Economics'!$B$18*B969*C969*D969)</f>
        <v>677217.139488688</v>
      </c>
      <c r="I969" s="29" t="n">
        <f aca="false">H969*Controls!$B$52</f>
        <v>961648.338073938</v>
      </c>
      <c r="J969" s="29" t="n">
        <f aca="false">'City Fiscal'!$B$5+(H969*Controls!$B$56*Controls!$B$55)+('City Fiscal'!$B$9*B969*F969)</f>
        <v>143934.532345048</v>
      </c>
      <c r="K969" s="29" t="n">
        <f aca="false">J969-('City Fiscal'!$B$13*E969)</f>
        <v>24449.4463054312</v>
      </c>
      <c r="L969" s="30" t="n">
        <f aca="false">'Mobility &amp; Emissions'!$B$21*B969*F969</f>
        <v>83.2006254474222</v>
      </c>
    </row>
    <row r="970" customFormat="false" ht="15" hidden="false" customHeight="true" outlineLevel="0" collapsed="false">
      <c r="A970" s="14" t="n">
        <v>966</v>
      </c>
      <c r="B970" s="47" t="n">
        <v>0.922450012813943</v>
      </c>
      <c r="C970" s="47" t="n">
        <v>0.941305399714934</v>
      </c>
      <c r="D970" s="47" t="n">
        <v>1.03634431905517</v>
      </c>
      <c r="E970" s="47" t="n">
        <v>0.935548691035425</v>
      </c>
      <c r="F970" s="47" t="n">
        <v>1.05244232475095</v>
      </c>
      <c r="G970" s="27" t="n">
        <f aca="false">'Visitor Economics'!$B$5*B970</f>
        <v>29702.890412609</v>
      </c>
      <c r="H970" s="29" t="n">
        <f aca="false">MAX(0,'Visitor Economics'!$B$18*B970*C970*D970)</f>
        <v>651136.636557855</v>
      </c>
      <c r="I970" s="29" t="n">
        <f aca="false">H970*Controls!$B$52</f>
        <v>924614.023912155</v>
      </c>
      <c r="J970" s="29" t="n">
        <f aca="false">'City Fiscal'!$B$5+(H970*Controls!$B$56*Controls!$B$55)+('City Fiscal'!$B$9*B970*F970)</f>
        <v>152183.897610217</v>
      </c>
      <c r="K970" s="29" t="n">
        <f aca="false">J970-('City Fiscal'!$B$13*E970)</f>
        <v>49273.5415963201</v>
      </c>
      <c r="L970" s="30" t="n">
        <f aca="false">'Mobility &amp; Emissions'!$B$21*B970*F970</f>
        <v>90.6087883406833</v>
      </c>
    </row>
    <row r="971" customFormat="false" ht="15" hidden="false" customHeight="true" outlineLevel="0" collapsed="false">
      <c r="A971" s="14" t="n">
        <v>967</v>
      </c>
      <c r="B971" s="47" t="n">
        <v>0.904254577380473</v>
      </c>
      <c r="C971" s="47" t="n">
        <v>1.0699800039984</v>
      </c>
      <c r="D971" s="47" t="n">
        <v>1.01041963769958</v>
      </c>
      <c r="E971" s="47" t="n">
        <v>1.01164364913013</v>
      </c>
      <c r="F971" s="47" t="n">
        <v>1.05477657851138</v>
      </c>
      <c r="G971" s="27" t="n">
        <f aca="false">'Visitor Economics'!$B$5*B971</f>
        <v>29116.9973916512</v>
      </c>
      <c r="H971" s="29" t="n">
        <f aca="false">MAX(0,'Visitor Economics'!$B$18*B971*C971*D971)</f>
        <v>707396.367270702</v>
      </c>
      <c r="I971" s="29" t="n">
        <f aca="false">H971*Controls!$B$52</f>
        <v>1004502.8415244</v>
      </c>
      <c r="J971" s="29" t="n">
        <f aca="false">'City Fiscal'!$B$5+(H971*Controls!$B$56*Controls!$B$55)+('City Fiscal'!$B$9*B971*F971)</f>
        <v>150741.33763834</v>
      </c>
      <c r="K971" s="29" t="n">
        <f aca="false">J971-('City Fiscal'!$B$13*E971)</f>
        <v>39460.536234026</v>
      </c>
      <c r="L971" s="30" t="n">
        <f aca="false">'Mobility &amp; Emissions'!$B$21*B971*F971</f>
        <v>89.018520077015</v>
      </c>
    </row>
    <row r="972" customFormat="false" ht="15" hidden="false" customHeight="true" outlineLevel="0" collapsed="false">
      <c r="A972" s="14" t="n">
        <v>968</v>
      </c>
      <c r="B972" s="47" t="n">
        <v>0.867044816043232</v>
      </c>
      <c r="C972" s="47" t="n">
        <v>0.910746900773525</v>
      </c>
      <c r="D972" s="47" t="n">
        <v>1.15706857366854</v>
      </c>
      <c r="E972" s="47" t="n">
        <v>1.01873986508696</v>
      </c>
      <c r="F972" s="47" t="n">
        <v>0.929230675877466</v>
      </c>
      <c r="G972" s="27" t="n">
        <f aca="false">'Visitor Economics'!$B$5*B972</f>
        <v>27918.8430765921</v>
      </c>
      <c r="H972" s="29" t="n">
        <f aca="false">MAX(0,'Visitor Economics'!$B$18*B972*C972*D972)</f>
        <v>661139.364143108</v>
      </c>
      <c r="I972" s="29" t="n">
        <f aca="false">H972*Controls!$B$52</f>
        <v>938817.897083213</v>
      </c>
      <c r="J972" s="29" t="n">
        <f aca="false">'City Fiscal'!$B$5+(H972*Controls!$B$56*Controls!$B$55)+('City Fiscal'!$B$9*B972*F972)</f>
        <v>134734.088937631</v>
      </c>
      <c r="K972" s="29" t="n">
        <f aca="false">J972-('City Fiscal'!$B$13*E972)</f>
        <v>22672.7037780649</v>
      </c>
      <c r="L972" s="30" t="n">
        <f aca="false">'Mobility &amp; Emissions'!$B$21*B972*F972</f>
        <v>75.1959171550252</v>
      </c>
    </row>
    <row r="973" customFormat="false" ht="15" hidden="false" customHeight="true" outlineLevel="0" collapsed="false">
      <c r="A973" s="14" t="n">
        <v>969</v>
      </c>
      <c r="B973" s="47" t="n">
        <v>0.900129929659515</v>
      </c>
      <c r="C973" s="47" t="n">
        <v>1.00993638203294</v>
      </c>
      <c r="D973" s="47" t="n">
        <v>1.12014912399217</v>
      </c>
      <c r="E973" s="47" t="n">
        <v>1.08854180107533</v>
      </c>
      <c r="F973" s="47" t="n">
        <v>0.946630740450438</v>
      </c>
      <c r="G973" s="27" t="n">
        <f aca="false">'Visitor Economics'!$B$5*B973</f>
        <v>28984.1837350364</v>
      </c>
      <c r="H973" s="29" t="n">
        <f aca="false">MAX(0,'Visitor Economics'!$B$18*B973*C973*D973)</f>
        <v>736834.128303393</v>
      </c>
      <c r="I973" s="29" t="n">
        <f aca="false">H973*Controls!$B$52</f>
        <v>1046304.46219082</v>
      </c>
      <c r="J973" s="29" t="n">
        <f aca="false">'City Fiscal'!$B$5+(H973*Controls!$B$56*Controls!$B$55)+('City Fiscal'!$B$9*B973*F973)</f>
        <v>140146.355630198</v>
      </c>
      <c r="K973" s="29" t="n">
        <f aca="false">J973-('City Fiscal'!$B$13*E973)</f>
        <v>20406.7575119112</v>
      </c>
      <c r="L973" s="30" t="n">
        <f aca="false">'Mobility &amp; Emissions'!$B$21*B973*F973</f>
        <v>79.5270700213365</v>
      </c>
    </row>
    <row r="974" customFormat="false" ht="15" hidden="false" customHeight="true" outlineLevel="0" collapsed="false">
      <c r="A974" s="14" t="n">
        <v>970</v>
      </c>
      <c r="B974" s="47" t="n">
        <v>1.002</v>
      </c>
      <c r="C974" s="47" t="n">
        <v>0.931566123890722</v>
      </c>
      <c r="D974" s="47" t="n">
        <v>1.20596876108943</v>
      </c>
      <c r="E974" s="47" t="n">
        <v>1.05811787472513</v>
      </c>
      <c r="F974" s="47" t="n">
        <v>1.11117346268337</v>
      </c>
      <c r="G974" s="27" t="n">
        <f aca="false">'Visitor Economics'!$B$5*B974</f>
        <v>32264.4</v>
      </c>
      <c r="H974" s="29" t="n">
        <f aca="false">MAX(0,'Visitor Economics'!$B$18*B974*C974*D974)</f>
        <v>814539.475146723</v>
      </c>
      <c r="I974" s="29" t="n">
        <f aca="false">H974*Controls!$B$52</f>
        <v>1156646.05470835</v>
      </c>
      <c r="J974" s="29" t="n">
        <f aca="false">'City Fiscal'!$B$5+(H974*Controls!$B$56*Controls!$B$55)+('City Fiscal'!$B$9*B974*F974)</f>
        <v>168363.583621291</v>
      </c>
      <c r="K974" s="29" t="n">
        <f aca="false">J974-('City Fiscal'!$B$13*E974)</f>
        <v>51970.6174015271</v>
      </c>
      <c r="L974" s="30" t="n">
        <f aca="false">'Mobility &amp; Emissions'!$B$21*B974*F974</f>
        <v>103.91512368366</v>
      </c>
    </row>
    <row r="975" customFormat="false" ht="15" hidden="false" customHeight="true" outlineLevel="0" collapsed="false">
      <c r="A975" s="14" t="n">
        <v>971</v>
      </c>
      <c r="B975" s="47" t="n">
        <v>0.937805109647862</v>
      </c>
      <c r="C975" s="47" t="n">
        <v>0.993507924891055</v>
      </c>
      <c r="D975" s="47" t="n">
        <v>0.861665782308137</v>
      </c>
      <c r="E975" s="47" t="n">
        <v>1.0829782948237</v>
      </c>
      <c r="F975" s="47" t="n">
        <v>1.13426786727745</v>
      </c>
      <c r="G975" s="27" t="n">
        <f aca="false">'Visitor Economics'!$B$5*B975</f>
        <v>30197.3245306612</v>
      </c>
      <c r="H975" s="29" t="n">
        <f aca="false">MAX(0,'Visitor Economics'!$B$18*B975*C975*D975)</f>
        <v>580921.495743276</v>
      </c>
      <c r="I975" s="29" t="n">
        <f aca="false">H975*Controls!$B$52</f>
        <v>824908.523955451</v>
      </c>
      <c r="J975" s="29" t="n">
        <f aca="false">'City Fiscal'!$B$5+(H975*Controls!$B$56*Controls!$B$55)+('City Fiscal'!$B$9*B975*F975)</f>
        <v>161581.418345834</v>
      </c>
      <c r="K975" s="29" t="n">
        <f aca="false">J975-('City Fiscal'!$B$13*E975)</f>
        <v>42453.8059152266</v>
      </c>
      <c r="L975" s="30" t="n">
        <f aca="false">'Mobility &amp; Emissions'!$B$21*B975*F975</f>
        <v>99.279001407007</v>
      </c>
    </row>
    <row r="976" customFormat="false" ht="15" hidden="false" customHeight="true" outlineLevel="0" collapsed="false">
      <c r="A976" s="14" t="n">
        <v>972</v>
      </c>
      <c r="B976" s="47" t="n">
        <v>0.930400892861592</v>
      </c>
      <c r="C976" s="47" t="n">
        <v>0.899655508284111</v>
      </c>
      <c r="D976" s="47" t="n">
        <v>1.00009751901992</v>
      </c>
      <c r="E976" s="47" t="n">
        <v>1.01827548683836</v>
      </c>
      <c r="F976" s="47" t="n">
        <v>0.95381473883799</v>
      </c>
      <c r="G976" s="27" t="n">
        <f aca="false">'Visitor Economics'!$B$5*B976</f>
        <v>29958.9087501433</v>
      </c>
      <c r="H976" s="29" t="n">
        <f aca="false">MAX(0,'Visitor Economics'!$B$18*B976*C976*D976)</f>
        <v>605735.99436022</v>
      </c>
      <c r="I976" s="29" t="n">
        <f aca="false">H976*Controls!$B$52</f>
        <v>860145.111991512</v>
      </c>
      <c r="J976" s="29" t="n">
        <f aca="false">'City Fiscal'!$B$5+(H976*Controls!$B$56*Controls!$B$55)+('City Fiscal'!$B$9*B976*F976)</f>
        <v>143044.894732704</v>
      </c>
      <c r="K976" s="29" t="n">
        <f aca="false">J976-('City Fiscal'!$B$13*E976)</f>
        <v>31034.5911804849</v>
      </c>
      <c r="L976" s="30" t="n">
        <f aca="false">'Mobility &amp; Emissions'!$B$21*B976*F976</f>
        <v>82.8253584305402</v>
      </c>
    </row>
    <row r="977" customFormat="false" ht="15" hidden="false" customHeight="true" outlineLevel="0" collapsed="false">
      <c r="A977" s="14" t="n">
        <v>973</v>
      </c>
      <c r="B977" s="47" t="n">
        <v>0.940025003907471</v>
      </c>
      <c r="C977" s="47" t="n">
        <v>0.973352535029585</v>
      </c>
      <c r="D977" s="47" t="n">
        <v>1.04361746682435</v>
      </c>
      <c r="E977" s="47" t="n">
        <v>1.11946743701283</v>
      </c>
      <c r="F977" s="47" t="n">
        <v>0.961948648942272</v>
      </c>
      <c r="G977" s="27" t="n">
        <f aca="false">'Visitor Economics'!$B$5*B977</f>
        <v>30268.8051258206</v>
      </c>
      <c r="H977" s="29" t="n">
        <f aca="false">MAX(0,'Visitor Economics'!$B$18*B977*C977*D977)</f>
        <v>690948.341469581</v>
      </c>
      <c r="I977" s="29" t="n">
        <f aca="false">H977*Controls!$B$52</f>
        <v>981146.644886805</v>
      </c>
      <c r="J977" s="29" t="n">
        <f aca="false">'City Fiscal'!$B$5+(H977*Controls!$B$56*Controls!$B$55)+('City Fiscal'!$B$9*B977*F977)</f>
        <v>145381.583222903</v>
      </c>
      <c r="K977" s="29" t="n">
        <f aca="false">J977-('City Fiscal'!$B$13*E977)</f>
        <v>22240.1651514914</v>
      </c>
      <c r="L977" s="30" t="n">
        <f aca="false">'Mobility &amp; Emissions'!$B$21*B977*F977</f>
        <v>84.3957294137582</v>
      </c>
    </row>
    <row r="978" customFormat="false" ht="15" hidden="false" customHeight="true" outlineLevel="0" collapsed="false">
      <c r="A978" s="14" t="n">
        <v>974</v>
      </c>
      <c r="B978" s="47" t="n">
        <v>0.862689781714551</v>
      </c>
      <c r="C978" s="47" t="n">
        <v>0.9245705503476</v>
      </c>
      <c r="D978" s="47" t="n">
        <v>1.10157072391203</v>
      </c>
      <c r="E978" s="47" t="n">
        <v>1.09673960067911</v>
      </c>
      <c r="F978" s="47" t="n">
        <v>0.994421258822931</v>
      </c>
      <c r="G978" s="27" t="n">
        <f aca="false">'Visitor Economics'!$B$5*B978</f>
        <v>27778.6109712085</v>
      </c>
      <c r="H978" s="29" t="n">
        <f aca="false">MAX(0,'Visitor Economics'!$B$18*B978*C978*D978)</f>
        <v>635772.538223415</v>
      </c>
      <c r="I978" s="29" t="n">
        <f aca="false">H978*Controls!$B$52</f>
        <v>902797.004277249</v>
      </c>
      <c r="J978" s="29" t="n">
        <f aca="false">'City Fiscal'!$B$5+(H978*Controls!$B$56*Controls!$B$55)+('City Fiscal'!$B$9*B978*F978)</f>
        <v>140105.174547751</v>
      </c>
      <c r="K978" s="29" t="n">
        <f aca="false">J978-('City Fiscal'!$B$13*E978)</f>
        <v>19463.8184730486</v>
      </c>
      <c r="L978" s="30" t="n">
        <f aca="false">'Mobility &amp; Emissions'!$B$21*B978*F978</f>
        <v>80.0671242800554</v>
      </c>
    </row>
    <row r="979" customFormat="false" ht="15" hidden="false" customHeight="true" outlineLevel="0" collapsed="false">
      <c r="A979" s="14" t="n">
        <v>975</v>
      </c>
      <c r="B979" s="47" t="n">
        <v>0.918935956469159</v>
      </c>
      <c r="C979" s="47" t="n">
        <v>1.08042728212518</v>
      </c>
      <c r="D979" s="47" t="n">
        <v>1.04851488888754</v>
      </c>
      <c r="E979" s="47" t="n">
        <v>0.962810713883798</v>
      </c>
      <c r="F979" s="47" t="n">
        <v>0.971026856523666</v>
      </c>
      <c r="G979" s="27" t="n">
        <f aca="false">'Visitor Economics'!$B$5*B979</f>
        <v>29589.7377983069</v>
      </c>
      <c r="H979" s="29" t="n">
        <f aca="false">MAX(0,'Visitor Economics'!$B$18*B979*C979*D979)</f>
        <v>753268.937110375</v>
      </c>
      <c r="I979" s="29" t="n">
        <f aca="false">H979*Controls!$B$52</f>
        <v>1069641.89069673</v>
      </c>
      <c r="J979" s="29" t="n">
        <f aca="false">'City Fiscal'!$B$5+(H979*Controls!$B$56*Controls!$B$55)+('City Fiscal'!$B$9*B979*F979)</f>
        <v>144518.624287321</v>
      </c>
      <c r="K979" s="29" t="n">
        <f aca="false">J979-('City Fiscal'!$B$13*E979)</f>
        <v>38609.4457601029</v>
      </c>
      <c r="L979" s="30" t="n">
        <f aca="false">'Mobility &amp; Emissions'!$B$21*B979*F979</f>
        <v>83.280948585864</v>
      </c>
    </row>
    <row r="980" customFormat="false" ht="15" hidden="false" customHeight="true" outlineLevel="0" collapsed="false">
      <c r="A980" s="14" t="n">
        <v>976</v>
      </c>
      <c r="B980" s="47" t="n">
        <v>0.810397368307141</v>
      </c>
      <c r="C980" s="47" t="n">
        <v>1.04028801846648</v>
      </c>
      <c r="D980" s="47" t="n">
        <v>0.990737514458152</v>
      </c>
      <c r="E980" s="47" t="n">
        <v>0.983528896529023</v>
      </c>
      <c r="F980" s="47" t="n">
        <v>0.972688630280071</v>
      </c>
      <c r="G980" s="27" t="n">
        <f aca="false">'Visitor Economics'!$B$5*B980</f>
        <v>26094.7952594899</v>
      </c>
      <c r="H980" s="29" t="n">
        <f aca="false">MAX(0,'Visitor Economics'!$B$18*B980*C980*D980)</f>
        <v>604372.779845694</v>
      </c>
      <c r="I980" s="29" t="n">
        <f aca="false">H980*Controls!$B$52</f>
        <v>858209.347380885</v>
      </c>
      <c r="J980" s="29" t="n">
        <f aca="false">'City Fiscal'!$B$5+(H980*Controls!$B$56*Controls!$B$55)+('City Fiscal'!$B$9*B980*F980)</f>
        <v>132518.662594479</v>
      </c>
      <c r="K980" s="29" t="n">
        <f aca="false">J980-('City Fiscal'!$B$13*E980)</f>
        <v>24330.4839762868</v>
      </c>
      <c r="L980" s="30" t="n">
        <f aca="false">'Mobility &amp; Emissions'!$B$21*B980*F980</f>
        <v>73.5700477433497</v>
      </c>
    </row>
    <row r="981" customFormat="false" ht="15" hidden="false" customHeight="true" outlineLevel="0" collapsed="false">
      <c r="A981" s="14" t="n">
        <v>977</v>
      </c>
      <c r="B981" s="47" t="n">
        <v>0.924062520358308</v>
      </c>
      <c r="C981" s="47" t="n">
        <v>1.01225029002359</v>
      </c>
      <c r="D981" s="47" t="n">
        <v>0.939000943393428</v>
      </c>
      <c r="E981" s="47" t="n">
        <v>1.07086666976802</v>
      </c>
      <c r="F981" s="47" t="n">
        <v>1.04467906191075</v>
      </c>
      <c r="G981" s="27" t="n">
        <f aca="false">'Visitor Economics'!$B$5*B981</f>
        <v>29754.8131555375</v>
      </c>
      <c r="H981" s="29" t="n">
        <f aca="false">MAX(0,'Visitor Economics'!$B$18*B981*C981*D981)</f>
        <v>635550.352312658</v>
      </c>
      <c r="I981" s="29" t="n">
        <f aca="false">H981*Controls!$B$52</f>
        <v>902481.500283975</v>
      </c>
      <c r="J981" s="29" t="n">
        <f aca="false">'City Fiscal'!$B$5+(H981*Controls!$B$56*Controls!$B$55)+('City Fiscal'!$B$9*B981*F981)</f>
        <v>151502.049816011</v>
      </c>
      <c r="K981" s="29" t="n">
        <f aca="false">J981-('City Fiscal'!$B$13*E981)</f>
        <v>33706.716141529</v>
      </c>
      <c r="L981" s="30" t="n">
        <f aca="false">'Mobility &amp; Emissions'!$B$21*B981*F981</f>
        <v>90.0976415090621</v>
      </c>
    </row>
    <row r="982" customFormat="false" ht="15" hidden="false" customHeight="true" outlineLevel="0" collapsed="false">
      <c r="A982" s="14" t="n">
        <v>978</v>
      </c>
      <c r="B982" s="47" t="n">
        <v>0.911863565855016</v>
      </c>
      <c r="C982" s="47" t="n">
        <v>1.00052615348956</v>
      </c>
      <c r="D982" s="47" t="n">
        <v>0.8508159586534</v>
      </c>
      <c r="E982" s="47" t="n">
        <v>1.1899895842374</v>
      </c>
      <c r="F982" s="47" t="n">
        <v>1.06825344043937</v>
      </c>
      <c r="G982" s="27" t="n">
        <f aca="false">'Visitor Economics'!$B$5*B982</f>
        <v>29362.0068205315</v>
      </c>
      <c r="H982" s="29" t="n">
        <f aca="false">MAX(0,'Visitor Economics'!$B$18*B982*C982*D982)</f>
        <v>561679.541954646</v>
      </c>
      <c r="I982" s="29" t="n">
        <f aca="false">H982*Controls!$B$52</f>
        <v>797584.949575597</v>
      </c>
      <c r="J982" s="29" t="n">
        <f aca="false">'City Fiscal'!$B$5+(H982*Controls!$B$56*Controls!$B$55)+('City Fiscal'!$B$9*B982*F982)</f>
        <v>151951.659380822</v>
      </c>
      <c r="K982" s="29" t="n">
        <f aca="false">J982-('City Fiscal'!$B$13*E982)</f>
        <v>21052.8051147079</v>
      </c>
      <c r="L982" s="30" t="n">
        <f aca="false">'Mobility &amp; Emissions'!$B$21*B982*F982</f>
        <v>90.9145388350811</v>
      </c>
    </row>
    <row r="983" customFormat="false" ht="15" hidden="false" customHeight="true" outlineLevel="0" collapsed="false">
      <c r="A983" s="14" t="n">
        <v>979</v>
      </c>
      <c r="B983" s="47" t="n">
        <v>0.86951871312748</v>
      </c>
      <c r="C983" s="47" t="n">
        <v>1.00623708864485</v>
      </c>
      <c r="D983" s="47" t="n">
        <v>0.89346056583677</v>
      </c>
      <c r="E983" s="47" t="n">
        <v>1.061794660012</v>
      </c>
      <c r="F983" s="47" t="n">
        <v>1.0372502771622</v>
      </c>
      <c r="G983" s="27" t="n">
        <f aca="false">'Visitor Economics'!$B$5*B983</f>
        <v>27998.5025627049</v>
      </c>
      <c r="H983" s="29" t="n">
        <f aca="false">MAX(0,'Visitor Economics'!$B$18*B983*C983*D983)</f>
        <v>565651.981036102</v>
      </c>
      <c r="I983" s="29" t="n">
        <f aca="false">H983*Controls!$B$52</f>
        <v>803225.813071264</v>
      </c>
      <c r="J983" s="29" t="n">
        <f aca="false">'City Fiscal'!$B$5+(H983*Controls!$B$56*Controls!$B$55)+('City Fiscal'!$B$9*B983*F983)</f>
        <v>144320.715739083</v>
      </c>
      <c r="K983" s="29" t="n">
        <f aca="false">J983-('City Fiscal'!$B$13*E983)</f>
        <v>27523.3031377626</v>
      </c>
      <c r="L983" s="30" t="n">
        <f aca="false">'Mobility &amp; Emissions'!$B$21*B983*F983</f>
        <v>84.1766559937324</v>
      </c>
    </row>
    <row r="984" customFormat="false" ht="15" hidden="false" customHeight="true" outlineLevel="0" collapsed="false">
      <c r="A984" s="14" t="n">
        <v>980</v>
      </c>
      <c r="B984" s="47" t="n">
        <v>0.866657948279428</v>
      </c>
      <c r="C984" s="47" t="n">
        <v>1.03740460061238</v>
      </c>
      <c r="D984" s="47" t="n">
        <v>0.95860263155956</v>
      </c>
      <c r="E984" s="47" t="n">
        <v>1.03338109500785</v>
      </c>
      <c r="F984" s="47" t="n">
        <v>0.984582688336948</v>
      </c>
      <c r="G984" s="27" t="n">
        <f aca="false">'Visitor Economics'!$B$5*B984</f>
        <v>27906.3859345976</v>
      </c>
      <c r="H984" s="29" t="n">
        <f aca="false">MAX(0,'Visitor Economics'!$B$18*B984*C984*D984)</f>
        <v>623633.132570784</v>
      </c>
      <c r="I984" s="29" t="n">
        <f aca="false">H984*Controls!$B$52</f>
        <v>885559.048250514</v>
      </c>
      <c r="J984" s="29" t="n">
        <f aca="false">'City Fiscal'!$B$5+(H984*Controls!$B$56*Controls!$B$55)+('City Fiscal'!$B$9*B984*F984)</f>
        <v>139540.693597366</v>
      </c>
      <c r="K984" s="29" t="n">
        <f aca="false">J984-('City Fiscal'!$B$13*E984)</f>
        <v>25868.7731465022</v>
      </c>
      <c r="L984" s="30" t="n">
        <f aca="false">'Mobility &amp; Emissions'!$B$21*B984*F984</f>
        <v>79.6396047905101</v>
      </c>
    </row>
    <row r="985" customFormat="false" ht="15" hidden="false" customHeight="true" outlineLevel="0" collapsed="false">
      <c r="A985" s="14" t="n">
        <v>981</v>
      </c>
      <c r="B985" s="47" t="n">
        <v>0.836646270839306</v>
      </c>
      <c r="C985" s="47" t="n">
        <v>1.03653743354054</v>
      </c>
      <c r="D985" s="47" t="n">
        <v>0.938675454938689</v>
      </c>
      <c r="E985" s="47" t="n">
        <v>1.02084121225665</v>
      </c>
      <c r="F985" s="47" t="n">
        <v>1.06012508692633</v>
      </c>
      <c r="G985" s="27" t="n">
        <f aca="false">'Visitor Economics'!$B$5*B985</f>
        <v>26940.0099210257</v>
      </c>
      <c r="H985" s="29" t="n">
        <f aca="false">MAX(0,'Visitor Economics'!$B$18*B985*C985*D985)</f>
        <v>589029.440337059</v>
      </c>
      <c r="I985" s="29" t="n">
        <f aca="false">H985*Controls!$B$52</f>
        <v>836421.805278624</v>
      </c>
      <c r="J985" s="29" t="n">
        <f aca="false">'City Fiscal'!$B$5+(H985*Controls!$B$56*Controls!$B$55)+('City Fiscal'!$B$9*B985*F985)</f>
        <v>142885.687331906</v>
      </c>
      <c r="K985" s="29" t="n">
        <f aca="false">J985-('City Fiscal'!$B$13*E985)</f>
        <v>30593.1539836745</v>
      </c>
      <c r="L985" s="30" t="n">
        <f aca="false">'Mobility &amp; Emissions'!$B$21*B985*F985</f>
        <v>82.7805233714992</v>
      </c>
    </row>
    <row r="986" customFormat="false" ht="15" hidden="false" customHeight="true" outlineLevel="0" collapsed="false">
      <c r="A986" s="14" t="n">
        <v>982</v>
      </c>
      <c r="B986" s="47" t="n">
        <v>0.812012497559547</v>
      </c>
      <c r="C986" s="47" t="n">
        <v>0.940859422470902</v>
      </c>
      <c r="D986" s="47" t="n">
        <v>0.954799027457249</v>
      </c>
      <c r="E986" s="47" t="n">
        <v>0.95952096616638</v>
      </c>
      <c r="F986" s="47" t="n">
        <v>1.10185958039236</v>
      </c>
      <c r="G986" s="27" t="n">
        <f aca="false">'Visitor Economics'!$B$5*B986</f>
        <v>26146.8024214174</v>
      </c>
      <c r="H986" s="29" t="n">
        <f aca="false">MAX(0,'Visitor Economics'!$B$18*B986*C986*D986)</f>
        <v>527830.023395775</v>
      </c>
      <c r="I986" s="29" t="n">
        <f aca="false">H986*Controls!$B$52</f>
        <v>749518.633222001</v>
      </c>
      <c r="J986" s="29" t="n">
        <f aca="false">'City Fiscal'!$B$5+(H986*Controls!$B$56*Controls!$B$55)+('City Fiscal'!$B$9*B986*F986)</f>
        <v>143313.621054345</v>
      </c>
      <c r="K986" s="29" t="n">
        <f aca="false">J986-('City Fiscal'!$B$13*E986)</f>
        <v>37766.3147760429</v>
      </c>
      <c r="L986" s="30" t="n">
        <f aca="false">'Mobility &amp; Emissions'!$B$21*B986*F986</f>
        <v>83.5060886024113</v>
      </c>
    </row>
    <row r="987" customFormat="false" ht="15" hidden="false" customHeight="true" outlineLevel="0" collapsed="false">
      <c r="A987" s="14" t="n">
        <v>983</v>
      </c>
      <c r="B987" s="47" t="n">
        <v>0.813045423283717</v>
      </c>
      <c r="C987" s="47" t="n">
        <v>1.07611378348502</v>
      </c>
      <c r="D987" s="47" t="n">
        <v>1.09460936321644</v>
      </c>
      <c r="E987" s="47" t="n">
        <v>1.12450597623791</v>
      </c>
      <c r="F987" s="47" t="n">
        <v>0.970467838031568</v>
      </c>
      <c r="G987" s="27" t="n">
        <f aca="false">'Visitor Economics'!$B$5*B987</f>
        <v>26180.0626297357</v>
      </c>
      <c r="H987" s="29" t="n">
        <f aca="false">MAX(0,'Visitor Economics'!$B$18*B987*C987*D987)</f>
        <v>692989.783337365</v>
      </c>
      <c r="I987" s="29" t="n">
        <f aca="false">H987*Controls!$B$52</f>
        <v>984045.492339058</v>
      </c>
      <c r="J987" s="29" t="n">
        <f aca="false">'City Fiscal'!$B$5+(H987*Controls!$B$56*Controls!$B$55)+('City Fiscal'!$B$9*B987*F987)</f>
        <v>133174.579589527</v>
      </c>
      <c r="K987" s="29" t="n">
        <f aca="false">J987-('City Fiscal'!$B$13*E987)</f>
        <v>9478.92220335733</v>
      </c>
      <c r="L987" s="30" t="n">
        <f aca="false">'Mobility &amp; Emissions'!$B$21*B987*F987</f>
        <v>73.6419250982812</v>
      </c>
    </row>
    <row r="988" customFormat="false" ht="15" hidden="false" customHeight="true" outlineLevel="0" collapsed="false">
      <c r="A988" s="14" t="n">
        <v>984</v>
      </c>
      <c r="B988" s="47" t="n">
        <v>0.900548745327357</v>
      </c>
      <c r="C988" s="47" t="n">
        <v>0.933723348526149</v>
      </c>
      <c r="D988" s="47" t="n">
        <v>0.888332358969977</v>
      </c>
      <c r="E988" s="47" t="n">
        <v>1.03840191399731</v>
      </c>
      <c r="F988" s="47" t="n">
        <v>1.07395724886618</v>
      </c>
      <c r="G988" s="27" t="n">
        <f aca="false">'Visitor Economics'!$B$5*B988</f>
        <v>28997.6695995409</v>
      </c>
      <c r="H988" s="29" t="n">
        <f aca="false">MAX(0,'Visitor Economics'!$B$18*B988*C988*D988)</f>
        <v>540499.872920079</v>
      </c>
      <c r="I988" s="29" t="n">
        <f aca="false">H988*Controls!$B$52</f>
        <v>767509.819546512</v>
      </c>
      <c r="J988" s="29" t="n">
        <f aca="false">'City Fiscal'!$B$5+(H988*Controls!$B$56*Controls!$B$55)+('City Fiscal'!$B$9*B988*F988)</f>
        <v>151077.249707312</v>
      </c>
      <c r="K988" s="29" t="n">
        <f aca="false">J988-('City Fiscal'!$B$13*E988)</f>
        <v>36853.0391676076</v>
      </c>
      <c r="L988" s="30" t="n">
        <f aca="false">'Mobility &amp; Emissions'!$B$21*B988*F988</f>
        <v>90.2658332670949</v>
      </c>
    </row>
    <row r="989" customFormat="false" ht="15" hidden="false" customHeight="true" outlineLevel="0" collapsed="false">
      <c r="A989" s="14" t="n">
        <v>985</v>
      </c>
      <c r="B989" s="47" t="n">
        <v>0.922573104329451</v>
      </c>
      <c r="C989" s="47" t="n">
        <v>1.01668494785367</v>
      </c>
      <c r="D989" s="47" t="n">
        <v>0.991716555800438</v>
      </c>
      <c r="E989" s="47" t="n">
        <v>0.993406747273571</v>
      </c>
      <c r="F989" s="47" t="n">
        <v>0.959715541287458</v>
      </c>
      <c r="G989" s="27" t="n">
        <f aca="false">'Visitor Economics'!$B$5*B989</f>
        <v>29706.8539594083</v>
      </c>
      <c r="H989" s="29" t="n">
        <f aca="false">MAX(0,'Visitor Economics'!$B$18*B989*C989*D989)</f>
        <v>673084.231484489</v>
      </c>
      <c r="I989" s="29" t="n">
        <f aca="false">H989*Controls!$B$52</f>
        <v>955779.608707975</v>
      </c>
      <c r="J989" s="29" t="n">
        <f aca="false">'City Fiscal'!$B$5+(H989*Controls!$B$56*Controls!$B$55)+('City Fiscal'!$B$9*B989*F989)</f>
        <v>143266.82462218</v>
      </c>
      <c r="K989" s="29" t="n">
        <f aca="false">J989-('City Fiscal'!$B$13*E989)</f>
        <v>33992.0824220876</v>
      </c>
      <c r="L989" s="30" t="n">
        <f aca="false">'Mobility &amp; Emissions'!$B$21*B989*F989</f>
        <v>82.6366101459016</v>
      </c>
    </row>
    <row r="990" customFormat="false" ht="15" hidden="false" customHeight="true" outlineLevel="0" collapsed="false">
      <c r="A990" s="14" t="n">
        <v>986</v>
      </c>
      <c r="B990" s="47" t="n">
        <v>0.834837943068645</v>
      </c>
      <c r="C990" s="47" t="n">
        <v>0.882569960843843</v>
      </c>
      <c r="D990" s="47" t="n">
        <v>1.01763982699266</v>
      </c>
      <c r="E990" s="47" t="n">
        <v>0.955009999629657</v>
      </c>
      <c r="F990" s="47" t="n">
        <v>0.965898662632491</v>
      </c>
      <c r="G990" s="27" t="n">
        <f aca="false">'Visitor Economics'!$B$5*B990</f>
        <v>26881.7817668104</v>
      </c>
      <c r="H990" s="29" t="n">
        <f aca="false">MAX(0,'Visitor Economics'!$B$18*B990*C990*D990)</f>
        <v>542550.397620995</v>
      </c>
      <c r="I990" s="29" t="n">
        <f aca="false">H990*Controls!$B$52</f>
        <v>770421.564621813</v>
      </c>
      <c r="J990" s="29" t="n">
        <f aca="false">'City Fiscal'!$B$5+(H990*Controls!$B$56*Controls!$B$55)+('City Fiscal'!$B$9*B990*F990)</f>
        <v>134038.199135517</v>
      </c>
      <c r="K990" s="29" t="n">
        <f aca="false">J990-('City Fiscal'!$B$13*E990)</f>
        <v>28987.099176255</v>
      </c>
      <c r="L990" s="30" t="n">
        <f aca="false">'Mobility &amp; Emissions'!$B$21*B990*F990</f>
        <v>75.2597758518612</v>
      </c>
    </row>
    <row r="991" customFormat="false" ht="15" hidden="false" customHeight="true" outlineLevel="0" collapsed="false">
      <c r="A991" s="14" t="n">
        <v>987</v>
      </c>
      <c r="B991" s="47" t="n">
        <v>0.916987590678864</v>
      </c>
      <c r="C991" s="47" t="n">
        <v>0.978376134565786</v>
      </c>
      <c r="D991" s="47" t="n">
        <v>1.03966990229641</v>
      </c>
      <c r="E991" s="47" t="n">
        <v>0.981624564964612</v>
      </c>
      <c r="F991" s="47" t="n">
        <v>0.954462912078881</v>
      </c>
      <c r="G991" s="27" t="n">
        <f aca="false">'Visitor Economics'!$B$5*B991</f>
        <v>29527.0004198594</v>
      </c>
      <c r="H991" s="29" t="n">
        <f aca="false">MAX(0,'Visitor Economics'!$B$18*B991*C991*D991)</f>
        <v>674931.11527434</v>
      </c>
      <c r="I991" s="29" t="n">
        <f aca="false">H991*Controls!$B$52</f>
        <v>958402.183689563</v>
      </c>
      <c r="J991" s="29" t="n">
        <f aca="false">'City Fiscal'!$B$5+(H991*Controls!$B$56*Controls!$B$55)+('City Fiscal'!$B$9*B991*F991)</f>
        <v>142199.42191823</v>
      </c>
      <c r="K991" s="29" t="n">
        <f aca="false">J991-('City Fiscal'!$B$13*E991)</f>
        <v>34220.7197721229</v>
      </c>
      <c r="L991" s="30" t="n">
        <f aca="false">'Mobility &amp; Emissions'!$B$21*B991*F991</f>
        <v>81.6867640963022</v>
      </c>
    </row>
    <row r="992" customFormat="false" ht="15" hidden="false" customHeight="true" outlineLevel="0" collapsed="false">
      <c r="A992" s="14" t="n">
        <v>988</v>
      </c>
      <c r="B992" s="47" t="n">
        <v>0.974436857000422</v>
      </c>
      <c r="C992" s="47" t="n">
        <v>1.05441036667277</v>
      </c>
      <c r="D992" s="47" t="n">
        <v>1.07673358663607</v>
      </c>
      <c r="E992" s="47" t="n">
        <v>0.944574074349361</v>
      </c>
      <c r="F992" s="47" t="n">
        <v>0.927508064096583</v>
      </c>
      <c r="G992" s="27" t="n">
        <f aca="false">'Visitor Economics'!$B$5*B992</f>
        <v>31376.8667954136</v>
      </c>
      <c r="H992" s="29" t="n">
        <f aca="false">MAX(0,'Visitor Economics'!$B$18*B992*C992*D992)</f>
        <v>800509.147953398</v>
      </c>
      <c r="I992" s="29" t="n">
        <f aca="false">H992*Controls!$B$52</f>
        <v>1136722.99009382</v>
      </c>
      <c r="J992" s="29" t="n">
        <f aca="false">'City Fiscal'!$B$5+(H992*Controls!$B$56*Controls!$B$55)+('City Fiscal'!$B$9*B992*F992)</f>
        <v>146042.989952761</v>
      </c>
      <c r="K992" s="29" t="n">
        <f aca="false">J992-('City Fiscal'!$B$13*E992)</f>
        <v>42139.841774331</v>
      </c>
      <c r="L992" s="30" t="n">
        <f aca="false">'Mobility &amp; Emissions'!$B$21*B992*F992</f>
        <v>84.35300779314</v>
      </c>
    </row>
    <row r="993" customFormat="false" ht="15" hidden="false" customHeight="true" outlineLevel="0" collapsed="false">
      <c r="A993" s="14" t="n">
        <v>989</v>
      </c>
      <c r="B993" s="47" t="n">
        <v>0.943868534757303</v>
      </c>
      <c r="C993" s="47" t="n">
        <v>1.01951119465334</v>
      </c>
      <c r="D993" s="47" t="n">
        <v>1.18362040976324</v>
      </c>
      <c r="E993" s="47" t="n">
        <v>0.930059529346622</v>
      </c>
      <c r="F993" s="47" t="n">
        <v>1.12628291754874</v>
      </c>
      <c r="G993" s="27" t="n">
        <f aca="false">'Visitor Economics'!$B$5*B993</f>
        <v>30392.5668191852</v>
      </c>
      <c r="H993" s="29" t="n">
        <f aca="false">MAX(0,'Visitor Economics'!$B$18*B993*C993*D993)</f>
        <v>824158.272529832</v>
      </c>
      <c r="I993" s="29" t="n">
        <f aca="false">H993*Controls!$B$52</f>
        <v>1170304.74699236</v>
      </c>
      <c r="J993" s="29" t="n">
        <f aca="false">'City Fiscal'!$B$5+(H993*Controls!$B$56*Controls!$B$55)+('City Fiscal'!$B$9*B993*F993)</f>
        <v>163087.679311205</v>
      </c>
      <c r="K993" s="29" t="n">
        <f aca="false">J993-('City Fiscal'!$B$13*E993)</f>
        <v>60781.131083077</v>
      </c>
      <c r="L993" s="30" t="n">
        <f aca="false">'Mobility &amp; Emissions'!$B$21*B993*F993</f>
        <v>99.2174776605866</v>
      </c>
    </row>
    <row r="994" customFormat="false" ht="15" hidden="false" customHeight="true" outlineLevel="0" collapsed="false">
      <c r="A994" s="14" t="n">
        <v>990</v>
      </c>
      <c r="B994" s="47" t="n">
        <v>0.934093073620342</v>
      </c>
      <c r="C994" s="47" t="n">
        <v>0.945031995905048</v>
      </c>
      <c r="D994" s="47" t="n">
        <v>1.02301156417121</v>
      </c>
      <c r="E994" s="47" t="n">
        <v>0.973014705175679</v>
      </c>
      <c r="F994" s="47" t="n">
        <v>1.02971907881962</v>
      </c>
      <c r="G994" s="27" t="n">
        <f aca="false">'Visitor Economics'!$B$5*B994</f>
        <v>30077.796970575</v>
      </c>
      <c r="H994" s="29" t="n">
        <f aca="false">MAX(0,'Visitor Economics'!$B$18*B994*C994*D994)</f>
        <v>653449.269805927</v>
      </c>
      <c r="I994" s="29" t="n">
        <f aca="false">H994*Controls!$B$52</f>
        <v>927897.963124416</v>
      </c>
      <c r="J994" s="29" t="n">
        <f aca="false">'City Fiscal'!$B$5+(H994*Controls!$B$56*Controls!$B$55)+('City Fiscal'!$B$9*B994*F994)</f>
        <v>151247.32684489</v>
      </c>
      <c r="K994" s="29" t="n">
        <f aca="false">J994-('City Fiscal'!$B$13*E994)</f>
        <v>44215.709275565</v>
      </c>
      <c r="L994" s="30" t="n">
        <f aca="false">'Mobility &amp; Emissions'!$B$21*B994*F994</f>
        <v>89.7714185073616</v>
      </c>
    </row>
    <row r="995" customFormat="false" ht="15" hidden="false" customHeight="true" outlineLevel="0" collapsed="false">
      <c r="A995" s="14" t="n">
        <v>991</v>
      </c>
      <c r="B995" s="47" t="n">
        <v>0.839255379502624</v>
      </c>
      <c r="C995" s="47" t="n">
        <v>1.02023026511011</v>
      </c>
      <c r="D995" s="47" t="n">
        <v>0.905983729108167</v>
      </c>
      <c r="E995" s="47" t="n">
        <v>1.00191987181558</v>
      </c>
      <c r="F995" s="47" t="n">
        <v>0.991589194502971</v>
      </c>
      <c r="G995" s="27" t="n">
        <f aca="false">'Visitor Economics'!$B$5*B995</f>
        <v>27024.0232199845</v>
      </c>
      <c r="H995" s="29" t="n">
        <f aca="false">MAX(0,'Visitor Economics'!$B$18*B995*C995*D995)</f>
        <v>561315.977197217</v>
      </c>
      <c r="I995" s="29" t="n">
        <f aca="false">H995*Controls!$B$52</f>
        <v>797068.687620049</v>
      </c>
      <c r="J995" s="29" t="n">
        <f aca="false">'City Fiscal'!$B$5+(H995*Controls!$B$56*Controls!$B$55)+('City Fiscal'!$B$9*B995*F995)</f>
        <v>136899.055049264</v>
      </c>
      <c r="K995" s="29" t="n">
        <f aca="false">J995-('City Fiscal'!$B$13*E995)</f>
        <v>26687.8691495506</v>
      </c>
      <c r="L995" s="30" t="n">
        <f aca="false">'Mobility &amp; Emissions'!$B$21*B995*F995</f>
        <v>77.6703202149832</v>
      </c>
    </row>
    <row r="996" customFormat="false" ht="15" hidden="false" customHeight="true" outlineLevel="0" collapsed="false">
      <c r="A996" s="14" t="n">
        <v>992</v>
      </c>
      <c r="B996" s="47" t="n">
        <v>0.943240635750418</v>
      </c>
      <c r="C996" s="47" t="n">
        <v>0.946321019628564</v>
      </c>
      <c r="D996" s="47" t="n">
        <v>1.11969746740758</v>
      </c>
      <c r="E996" s="47" t="n">
        <v>1.08201562572668</v>
      </c>
      <c r="F996" s="47" t="n">
        <v>0.903455589043616</v>
      </c>
      <c r="G996" s="27" t="n">
        <f aca="false">'Visitor Economics'!$B$5*B996</f>
        <v>30372.3484711635</v>
      </c>
      <c r="H996" s="29" t="n">
        <f aca="false">MAX(0,'Visitor Economics'!$B$18*B996*C996*D996)</f>
        <v>723196.564724973</v>
      </c>
      <c r="I996" s="29" t="n">
        <f aca="false">H996*Controls!$B$52</f>
        <v>1026939.12190946</v>
      </c>
      <c r="J996" s="29" t="n">
        <f aca="false">'City Fiscal'!$B$5+(H996*Controls!$B$56*Controls!$B$55)+('City Fiscal'!$B$9*B996*F996)</f>
        <v>140067.037644106</v>
      </c>
      <c r="K996" s="29" t="n">
        <f aca="false">J996-('City Fiscal'!$B$13*E996)</f>
        <v>21045.3188141712</v>
      </c>
      <c r="L996" s="30" t="n">
        <f aca="false">'Mobility &amp; Emissions'!$B$21*B996*F996</f>
        <v>79.5350370361256</v>
      </c>
    </row>
    <row r="997" customFormat="false" ht="15" hidden="false" customHeight="true" outlineLevel="0" collapsed="false">
      <c r="A997" s="14" t="n">
        <v>993</v>
      </c>
      <c r="B997" s="47" t="n">
        <v>0.849195375568025</v>
      </c>
      <c r="C997" s="47" t="n">
        <v>0.933247516529061</v>
      </c>
      <c r="D997" s="47" t="n">
        <v>0.930995695302879</v>
      </c>
      <c r="E997" s="47" t="n">
        <v>1.04095754019817</v>
      </c>
      <c r="F997" s="47" t="n">
        <v>1.01276844386221</v>
      </c>
      <c r="G997" s="27" t="n">
        <f aca="false">'Visitor Economics'!$B$5*B997</f>
        <v>27344.0910932904</v>
      </c>
      <c r="H997" s="29" t="n">
        <f aca="false">MAX(0,'Visitor Economics'!$B$18*B997*C997*D997)</f>
        <v>533883.877312745</v>
      </c>
      <c r="I997" s="29" t="n">
        <f aca="false">H997*Controls!$B$52</f>
        <v>758115.105784097</v>
      </c>
      <c r="J997" s="29" t="n">
        <f aca="false">'City Fiscal'!$B$5+(H997*Controls!$B$56*Controls!$B$55)+('City Fiscal'!$B$9*B997*F997)</f>
        <v>139674.152353076</v>
      </c>
      <c r="K997" s="29" t="n">
        <f aca="false">J997-('City Fiscal'!$B$13*E997)</f>
        <v>25168.8229312775</v>
      </c>
      <c r="L997" s="30" t="n">
        <f aca="false">'Mobility &amp; Emissions'!$B$21*B997*F997</f>
        <v>80.2688346487189</v>
      </c>
    </row>
    <row r="998" customFormat="false" ht="15" hidden="false" customHeight="true" outlineLevel="0" collapsed="false">
      <c r="A998" s="14" t="n">
        <v>994</v>
      </c>
      <c r="B998" s="47" t="n">
        <v>0.867621915066951</v>
      </c>
      <c r="C998" s="47" t="n">
        <v>0.862532340636274</v>
      </c>
      <c r="D998" s="47" t="n">
        <v>0.944749810318555</v>
      </c>
      <c r="E998" s="47" t="n">
        <v>1.04224714201725</v>
      </c>
      <c r="F998" s="47" t="n">
        <v>1.0169304693027</v>
      </c>
      <c r="G998" s="27" t="n">
        <f aca="false">'Visitor Economics'!$B$5*B998</f>
        <v>27937.4256651558</v>
      </c>
      <c r="H998" s="29" t="n">
        <f aca="false">MAX(0,'Visitor Economics'!$B$18*B998*C998*D998)</f>
        <v>511584.507494146</v>
      </c>
      <c r="I998" s="29" t="n">
        <f aca="false">H998*Controls!$B$52</f>
        <v>726450.000641687</v>
      </c>
      <c r="J998" s="29" t="n">
        <f aca="false">'City Fiscal'!$B$5+(H998*Controls!$B$56*Controls!$B$55)+('City Fiscal'!$B$9*B998*F998)</f>
        <v>141891.886483519</v>
      </c>
      <c r="K998" s="29" t="n">
        <f aca="false">J998-('City Fiscal'!$B$13*E998)</f>
        <v>27244.7008616212</v>
      </c>
      <c r="L998" s="30" t="n">
        <f aca="false">'Mobility &amp; Emissions'!$B$21*B998*F998</f>
        <v>82.3476006099618</v>
      </c>
    </row>
    <row r="999" customFormat="false" ht="15" hidden="false" customHeight="true" outlineLevel="0" collapsed="false">
      <c r="A999" s="14" t="n">
        <v>995</v>
      </c>
      <c r="B999" s="47" t="n">
        <v>0.871743119633028</v>
      </c>
      <c r="C999" s="47" t="n">
        <v>0.946960623816993</v>
      </c>
      <c r="D999" s="47" t="n">
        <v>0.824903229282536</v>
      </c>
      <c r="E999" s="47" t="n">
        <v>1.18240747082702</v>
      </c>
      <c r="F999" s="47" t="n">
        <v>0.908672821646824</v>
      </c>
      <c r="G999" s="27" t="n">
        <f aca="false">'Visitor Economics'!$B$5*B999</f>
        <v>28070.1284521835</v>
      </c>
      <c r="H999" s="29" t="n">
        <f aca="false">MAX(0,'Visitor Economics'!$B$18*B999*C999*D999)</f>
        <v>492740.343973911</v>
      </c>
      <c r="I999" s="29" t="n">
        <f aca="false">H999*Controls!$B$52</f>
        <v>699691.288442954</v>
      </c>
      <c r="J999" s="29" t="n">
        <f aca="false">'City Fiscal'!$B$5+(H999*Controls!$B$56*Controls!$B$55)+('City Fiscal'!$B$9*B999*F999)</f>
        <v>132205.19873259</v>
      </c>
      <c r="K999" s="29" t="n">
        <f aca="false">J999-('City Fiscal'!$B$13*E999)</f>
        <v>2140.37694161822</v>
      </c>
      <c r="L999" s="30" t="n">
        <f aca="false">'Mobility &amp; Emissions'!$B$21*B999*F999</f>
        <v>73.9307723472028</v>
      </c>
    </row>
    <row r="1000" customFormat="false" ht="15" hidden="false" customHeight="true" outlineLevel="0" collapsed="false">
      <c r="A1000" s="14" t="n">
        <v>996</v>
      </c>
      <c r="B1000" s="47" t="n">
        <v>0.877254305817275</v>
      </c>
      <c r="C1000" s="47" t="n">
        <v>0.98124825580452</v>
      </c>
      <c r="D1000" s="47" t="n">
        <v>0.8717992374696</v>
      </c>
      <c r="E1000" s="47" t="n">
        <v>1.0341267733136</v>
      </c>
      <c r="F1000" s="47" t="n">
        <v>0.984749768088854</v>
      </c>
      <c r="G1000" s="27" t="n">
        <f aca="false">'Visitor Economics'!$B$5*B1000</f>
        <v>28247.5886473163</v>
      </c>
      <c r="H1000" s="29" t="n">
        <f aca="false">MAX(0,'Visitor Economics'!$B$18*B1000*C1000*D1000)</f>
        <v>543019.66903013</v>
      </c>
      <c r="I1000" s="29" t="n">
        <f aca="false">H1000*Controls!$B$52</f>
        <v>771087.930022785</v>
      </c>
      <c r="J1000" s="29" t="n">
        <f aca="false">'City Fiscal'!$B$5+(H1000*Controls!$B$56*Controls!$B$55)+('City Fiscal'!$B$9*B1000*F1000)</f>
        <v>140140.373434902</v>
      </c>
      <c r="K1000" s="29" t="n">
        <f aca="false">J1000-('City Fiscal'!$B$13*E1000)</f>
        <v>26386.4283704061</v>
      </c>
      <c r="L1000" s="30" t="n">
        <f aca="false">'Mobility &amp; Emissions'!$B$21*B1000*F1000</f>
        <v>80.6270132620364</v>
      </c>
    </row>
    <row r="1001" customFormat="false" ht="15" hidden="false" customHeight="true" outlineLevel="0" collapsed="false">
      <c r="A1001" s="14" t="n">
        <v>997</v>
      </c>
      <c r="B1001" s="47" t="n">
        <v>0.94402632034711</v>
      </c>
      <c r="C1001" s="47" t="n">
        <v>1.00128184637554</v>
      </c>
      <c r="D1001" s="47" t="n">
        <v>1.15770292529013</v>
      </c>
      <c r="E1001" s="47" t="n">
        <v>0.963890583430605</v>
      </c>
      <c r="F1001" s="47" t="n">
        <v>1.06501470715471</v>
      </c>
      <c r="G1001" s="27" t="n">
        <f aca="false">'Visitor Economics'!$B$5*B1001</f>
        <v>30397.6475151769</v>
      </c>
      <c r="H1001" s="29" t="n">
        <f aca="false">MAX(0,'Visitor Economics'!$B$18*B1001*C1001*D1001)</f>
        <v>791830.535576304</v>
      </c>
      <c r="I1001" s="29" t="n">
        <f aca="false">H1001*Controls!$B$52</f>
        <v>1124399.36051835</v>
      </c>
      <c r="J1001" s="29" t="n">
        <f aca="false">'City Fiscal'!$B$5+(H1001*Controls!$B$56*Controls!$B$55)+('City Fiscal'!$B$9*B1001*F1001)</f>
        <v>156762.732234794</v>
      </c>
      <c r="K1001" s="29" t="n">
        <f aca="false">J1001-('City Fiscal'!$B$13*E1001)</f>
        <v>50734.7680574271</v>
      </c>
      <c r="L1001" s="30" t="n">
        <f aca="false">'Mobility &amp; Emissions'!$B$21*B1001*F1001</f>
        <v>93.8358699205481</v>
      </c>
    </row>
    <row r="1002" customFormat="false" ht="15" hidden="false" customHeight="true" outlineLevel="0" collapsed="false">
      <c r="A1002" s="14" t="n">
        <v>998</v>
      </c>
      <c r="B1002" s="47" t="n">
        <v>0.809271146202361</v>
      </c>
      <c r="C1002" s="47" t="n">
        <v>1.01703398618962</v>
      </c>
      <c r="D1002" s="47" t="n">
        <v>0.803847431727547</v>
      </c>
      <c r="E1002" s="47" t="n">
        <v>0.855736535926136</v>
      </c>
      <c r="F1002" s="47" t="n">
        <v>1.024950009996</v>
      </c>
      <c r="G1002" s="27" t="n">
        <f aca="false">'Visitor Economics'!$B$5*B1002</f>
        <v>26058.530907716</v>
      </c>
      <c r="H1002" s="29" t="n">
        <f aca="false">MAX(0,'Visitor Economics'!$B$18*B1002*C1002*D1002)</f>
        <v>478737.91099318</v>
      </c>
      <c r="I1002" s="29" t="n">
        <f aca="false">H1002*Controls!$B$52</f>
        <v>679807.833610315</v>
      </c>
      <c r="J1002" s="29" t="n">
        <f aca="false">'City Fiscal'!$B$5+(H1002*Controls!$B$56*Controls!$B$55)+('City Fiscal'!$B$9*B1002*F1002)</f>
        <v>136073.974338608</v>
      </c>
      <c r="K1002" s="29" t="n">
        <f aca="false">J1002-('City Fiscal'!$B$13*E1002)</f>
        <v>41942.9553867334</v>
      </c>
      <c r="L1002" s="30" t="n">
        <f aca="false">'Mobility &amp; Emissions'!$B$21*B1002*F1002</f>
        <v>77.4151423543279</v>
      </c>
    </row>
    <row r="1003" customFormat="false" ht="15" hidden="false" customHeight="true" outlineLevel="0" collapsed="false">
      <c r="A1003" s="14" t="n">
        <v>999</v>
      </c>
      <c r="B1003" s="47" t="n">
        <v>0.842025801083098</v>
      </c>
      <c r="C1003" s="47" t="n">
        <v>0.977863865403075</v>
      </c>
      <c r="D1003" s="47" t="n">
        <v>1.04163433584201</v>
      </c>
      <c r="E1003" s="47" t="n">
        <v>0.927569977224131</v>
      </c>
      <c r="F1003" s="47" t="n">
        <v>0.928374102865679</v>
      </c>
      <c r="G1003" s="27" t="n">
        <f aca="false">'Visitor Economics'!$B$5*B1003</f>
        <v>27113.2307948758</v>
      </c>
      <c r="H1003" s="29" t="n">
        <f aca="false">MAX(0,'Visitor Economics'!$B$18*B1003*C1003*D1003)</f>
        <v>620602.833612399</v>
      </c>
      <c r="I1003" s="29" t="n">
        <f aca="false">H1003*Controls!$B$52</f>
        <v>881256.023729606</v>
      </c>
      <c r="J1003" s="29" t="n">
        <f aca="false">'City Fiscal'!$B$5+(H1003*Controls!$B$56*Controls!$B$55)+('City Fiscal'!$B$9*B1003*F1003)</f>
        <v>131929.216568033</v>
      </c>
      <c r="K1003" s="29" t="n">
        <f aca="false">J1003-('City Fiscal'!$B$13*E1003)</f>
        <v>29896.5190733788</v>
      </c>
      <c r="L1003" s="30" t="n">
        <f aca="false">'Mobility &amp; Emissions'!$B$21*B1003*F1003</f>
        <v>72.9587849814779</v>
      </c>
    </row>
    <row r="1004" customFormat="false" ht="15" hidden="false" customHeight="true" outlineLevel="0" collapsed="false">
      <c r="A1004" s="14" t="n">
        <v>1000</v>
      </c>
      <c r="B1004" s="47" t="n">
        <v>0.928939580497342</v>
      </c>
      <c r="C1004" s="47" t="n">
        <v>0.970329637796411</v>
      </c>
      <c r="D1004" s="47" t="n">
        <v>0.997973163485783</v>
      </c>
      <c r="E1004" s="47" t="n">
        <v>1.08920898656952</v>
      </c>
      <c r="F1004" s="47" t="n">
        <v>1.00264837971709</v>
      </c>
      <c r="G1004" s="27" t="n">
        <f aca="false">'Visitor Economics'!$B$5*B1004</f>
        <v>29911.8544920144</v>
      </c>
      <c r="H1004" s="29" t="n">
        <f aca="false">MAX(0,'Visitor Economics'!$B$18*B1004*C1004*D1004)</f>
        <v>650909.030568484</v>
      </c>
      <c r="I1004" s="29" t="n">
        <f aca="false">H1004*Controls!$B$52</f>
        <v>924290.823407247</v>
      </c>
      <c r="J1004" s="29" t="n">
        <f aca="false">'City Fiscal'!$B$5+(H1004*Controls!$B$56*Controls!$B$55)+('City Fiscal'!$B$9*B1004*F1004)</f>
        <v>148000.985369809</v>
      </c>
      <c r="K1004" s="29" t="n">
        <f aca="false">J1004-('City Fiscal'!$B$13*E1004)</f>
        <v>28187.9968471622</v>
      </c>
      <c r="L1004" s="30" t="n">
        <f aca="false">'Mobility &amp; Emissions'!$B$21*B1004*F1004</f>
        <v>86.9291234695186</v>
      </c>
    </row>
    <row r="1007" customFormat="false" ht="15" hidden="false" customHeight="true" outlineLevel="0" collapsed="false">
      <c r="A1007" s="11" t="s">
        <v>211</v>
      </c>
      <c r="B1007" s="11"/>
      <c r="C1007" s="11"/>
      <c r="D1007" s="11"/>
      <c r="E1007" s="11"/>
      <c r="F1007" s="11"/>
      <c r="G1007" s="11"/>
      <c r="H1007" s="11"/>
      <c r="I1007" s="11"/>
      <c r="J1007" s="11"/>
      <c r="K1007" s="11"/>
      <c r="L1007" s="11"/>
    </row>
    <row r="1008" customFormat="false" ht="15" hidden="false" customHeight="true" outlineLevel="0" collapsed="false">
      <c r="A1008" s="14" t="s">
        <v>212</v>
      </c>
      <c r="B1008" s="29" t="n">
        <f aca="false">AVERAGE(K5:K1004)</f>
        <v>32811.3887505012</v>
      </c>
    </row>
    <row r="1009" customFormat="false" ht="15" hidden="false" customHeight="true" outlineLevel="0" collapsed="false">
      <c r="A1009" s="14" t="s">
        <v>213</v>
      </c>
      <c r="B1009" s="29" t="n">
        <f aca="false">PERCENTILE(K5:K1004,0.1)</f>
        <v>15878.2612950689</v>
      </c>
    </row>
    <row r="1010" customFormat="false" ht="15" hidden="false" customHeight="true" outlineLevel="0" collapsed="false">
      <c r="A1010" s="14" t="s">
        <v>214</v>
      </c>
      <c r="B1010" s="29" t="n">
        <f aca="false">MEDIAN(K5:K1004)</f>
        <v>32882.5225542692</v>
      </c>
    </row>
    <row r="1011" customFormat="false" ht="15" hidden="false" customHeight="true" outlineLevel="0" collapsed="false">
      <c r="A1011" s="14" t="s">
        <v>215</v>
      </c>
      <c r="B1011" s="29" t="n">
        <f aca="false">PERCENTILE(K5:K1004,0.9)</f>
        <v>49137.8710556901</v>
      </c>
    </row>
    <row r="1012" customFormat="false" ht="15" hidden="false" customHeight="true" outlineLevel="0" collapsed="false">
      <c r="A1012" s="14" t="s">
        <v>216</v>
      </c>
      <c r="B1012" s="28" t="n">
        <f aca="false">COUNTIF(K5:K1004,"&gt;=0")/1000</f>
        <v>0.998</v>
      </c>
    </row>
    <row r="1013" customFormat="false" ht="15" hidden="false" customHeight="true" outlineLevel="0" collapsed="false">
      <c r="A1013" s="14" t="s">
        <v>217</v>
      </c>
      <c r="B1013" s="29" t="n">
        <f aca="false">AVERAGE(I5:I1004)</f>
        <v>921922.816721984</v>
      </c>
    </row>
    <row r="1014" customFormat="false" ht="15" hidden="false" customHeight="true" outlineLevel="0" collapsed="false">
      <c r="A1014" s="14" t="s">
        <v>218</v>
      </c>
      <c r="B1014" s="30" t="n">
        <f aca="false">AVERAGE(L5:L1004)</f>
        <v>84.6304452361754</v>
      </c>
    </row>
  </sheetData>
  <mergeCells count="3">
    <mergeCell ref="A1:L1"/>
    <mergeCell ref="A2:L2"/>
    <mergeCell ref="A1007:L100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8"/>
    <col collapsed="false" customWidth="true" hidden="false" outlineLevel="0" max="2" min="2" style="1" width="36"/>
    <col collapsed="false" customWidth="true" hidden="false" outlineLevel="0" max="3" min="3" style="1" width="16"/>
    <col collapsed="false" customWidth="true" hidden="false" outlineLevel="0" max="5" min="4" style="1" width="18"/>
    <col collapsed="false" customWidth="true" hidden="false" outlineLevel="0" max="6" min="6" style="1" width="48"/>
    <col collapsed="false" customWidth="true" hidden="false" outlineLevel="0" max="7" min="7" style="1" width="45"/>
    <col collapsed="false" customWidth="true" hidden="false" outlineLevel="0" max="8" min="8" style="1" width="15"/>
    <col collapsed="false" customWidth="true" hidden="false" outlineLevel="0" max="9" min="9" style="1" width="18"/>
  </cols>
  <sheetData>
    <row r="1" customFormat="false" ht="25.5" hidden="false" customHeight="true" outlineLevel="0" collapsed="false">
      <c r="A1" s="2" t="s">
        <v>219</v>
      </c>
      <c r="B1" s="2"/>
      <c r="C1" s="2"/>
      <c r="D1" s="2"/>
      <c r="E1" s="2"/>
      <c r="F1" s="2"/>
      <c r="G1" s="2"/>
      <c r="H1" s="2"/>
      <c r="I1" s="2"/>
    </row>
    <row r="2" customFormat="false" ht="30" hidden="false" customHeight="true" outlineLevel="0" collapsed="false">
      <c r="A2" s="3" t="s">
        <v>220</v>
      </c>
      <c r="B2" s="3"/>
      <c r="C2" s="3"/>
      <c r="D2" s="3"/>
      <c r="E2" s="3"/>
      <c r="F2" s="3"/>
      <c r="G2" s="3"/>
      <c r="H2" s="3"/>
      <c r="I2" s="3"/>
    </row>
    <row r="4" customFormat="false" ht="15" hidden="false" customHeight="true" outlineLevel="0" collapsed="false">
      <c r="A4" s="19" t="s">
        <v>221</v>
      </c>
      <c r="B4" s="19" t="s">
        <v>222</v>
      </c>
      <c r="C4" s="19" t="s">
        <v>223</v>
      </c>
      <c r="D4" s="19" t="s">
        <v>224</v>
      </c>
      <c r="E4" s="19" t="s">
        <v>225</v>
      </c>
      <c r="F4" s="19" t="s">
        <v>226</v>
      </c>
      <c r="G4" s="19" t="s">
        <v>227</v>
      </c>
      <c r="H4" s="19" t="s">
        <v>228</v>
      </c>
      <c r="I4" s="19" t="s">
        <v>229</v>
      </c>
    </row>
    <row r="5" customFormat="false" ht="15" hidden="false" customHeight="true" outlineLevel="0" collapsed="false">
      <c r="A5" s="1" t="s">
        <v>230</v>
      </c>
      <c r="B5" s="1" t="s">
        <v>231</v>
      </c>
      <c r="C5" s="43" t="s">
        <v>232</v>
      </c>
      <c r="D5" s="1" t="s">
        <v>233</v>
      </c>
      <c r="F5" s="1" t="s">
        <v>234</v>
      </c>
      <c r="I5" s="1" t="s">
        <v>235</v>
      </c>
    </row>
    <row r="6" customFormat="false" ht="15" hidden="false" customHeight="true" outlineLevel="0" collapsed="false">
      <c r="A6" s="1" t="s">
        <v>236</v>
      </c>
      <c r="B6" s="1" t="s">
        <v>237</v>
      </c>
      <c r="C6" s="43" t="s">
        <v>232</v>
      </c>
      <c r="D6" s="1" t="s">
        <v>233</v>
      </c>
      <c r="F6" s="1" t="s">
        <v>238</v>
      </c>
      <c r="G6" s="48" t="s">
        <v>239</v>
      </c>
      <c r="I6" s="1" t="s">
        <v>240</v>
      </c>
    </row>
    <row r="7" customFormat="false" ht="15" hidden="false" customHeight="true" outlineLevel="0" collapsed="false">
      <c r="A7" s="1" t="s">
        <v>236</v>
      </c>
      <c r="B7" s="1" t="s">
        <v>241</v>
      </c>
      <c r="C7" s="43" t="s">
        <v>232</v>
      </c>
      <c r="D7" s="1" t="s">
        <v>233</v>
      </c>
      <c r="F7" s="1" t="s">
        <v>242</v>
      </c>
      <c r="G7" s="48" t="s">
        <v>239</v>
      </c>
      <c r="I7" s="1" t="s">
        <v>243</v>
      </c>
    </row>
    <row r="8" customFormat="false" ht="15" hidden="false" customHeight="true" outlineLevel="0" collapsed="false">
      <c r="A8" s="1" t="s">
        <v>236</v>
      </c>
      <c r="B8" s="1" t="s">
        <v>244</v>
      </c>
      <c r="C8" s="43" t="s">
        <v>232</v>
      </c>
      <c r="D8" s="1" t="s">
        <v>233</v>
      </c>
      <c r="F8" s="1" t="s">
        <v>245</v>
      </c>
      <c r="G8" s="48" t="s">
        <v>239</v>
      </c>
      <c r="I8" s="1" t="s">
        <v>246</v>
      </c>
    </row>
    <row r="9" customFormat="false" ht="15" hidden="false" customHeight="true" outlineLevel="0" collapsed="false">
      <c r="A9" s="1" t="s">
        <v>247</v>
      </c>
      <c r="B9" s="1" t="s">
        <v>248</v>
      </c>
      <c r="C9" s="49" t="s">
        <v>249</v>
      </c>
      <c r="D9" s="1" t="s">
        <v>32</v>
      </c>
      <c r="E9" s="1" t="s">
        <v>250</v>
      </c>
      <c r="F9" s="1" t="s">
        <v>251</v>
      </c>
      <c r="G9" s="48" t="s">
        <v>252</v>
      </c>
      <c r="I9" s="1" t="s">
        <v>253</v>
      </c>
    </row>
    <row r="10" customFormat="false" ht="15" hidden="false" customHeight="true" outlineLevel="0" collapsed="false">
      <c r="A10" s="1" t="s">
        <v>247</v>
      </c>
      <c r="B10" s="1" t="s">
        <v>254</v>
      </c>
      <c r="C10" s="43" t="s">
        <v>232</v>
      </c>
      <c r="D10" s="1" t="s">
        <v>233</v>
      </c>
      <c r="F10" s="1" t="s">
        <v>255</v>
      </c>
      <c r="G10" s="48" t="s">
        <v>256</v>
      </c>
      <c r="I10" s="1" t="s">
        <v>257</v>
      </c>
    </row>
    <row r="11" customFormat="false" ht="15" hidden="false" customHeight="true" outlineLevel="0" collapsed="false">
      <c r="A11" s="1" t="s">
        <v>247</v>
      </c>
      <c r="B11" s="1" t="s">
        <v>258</v>
      </c>
      <c r="C11" s="43" t="s">
        <v>259</v>
      </c>
      <c r="D11" s="1" t="s">
        <v>260</v>
      </c>
      <c r="F11" s="1" t="s">
        <v>261</v>
      </c>
      <c r="G11" s="48" t="s">
        <v>262</v>
      </c>
      <c r="I11" s="1" t="s">
        <v>263</v>
      </c>
    </row>
    <row r="12" customFormat="false" ht="15" hidden="false" customHeight="true" outlineLevel="0" collapsed="false">
      <c r="A12" s="1" t="s">
        <v>264</v>
      </c>
      <c r="B12" s="1" t="s">
        <v>265</v>
      </c>
      <c r="C12" s="49" t="s">
        <v>249</v>
      </c>
      <c r="D12" s="1" t="s">
        <v>32</v>
      </c>
      <c r="E12" s="1" t="s">
        <v>250</v>
      </c>
      <c r="F12" s="1" t="s">
        <v>251</v>
      </c>
      <c r="G12" s="48" t="s">
        <v>266</v>
      </c>
      <c r="I12" s="1" t="s">
        <v>267</v>
      </c>
    </row>
    <row r="13" customFormat="false" ht="15" hidden="false" customHeight="true" outlineLevel="0" collapsed="false">
      <c r="A13" s="1" t="s">
        <v>264</v>
      </c>
      <c r="B13" s="1" t="s">
        <v>268</v>
      </c>
      <c r="C13" s="43" t="s">
        <v>232</v>
      </c>
      <c r="D13" s="1" t="s">
        <v>233</v>
      </c>
      <c r="F13" s="1" t="s">
        <v>269</v>
      </c>
      <c r="G13" s="48" t="s">
        <v>270</v>
      </c>
      <c r="I13" s="1" t="s">
        <v>271</v>
      </c>
    </row>
    <row r="14" customFormat="false" ht="15" hidden="false" customHeight="true" outlineLevel="0" collapsed="false">
      <c r="A14" s="1" t="s">
        <v>272</v>
      </c>
      <c r="B14" s="1" t="s">
        <v>273</v>
      </c>
      <c r="C14" s="43" t="s">
        <v>232</v>
      </c>
      <c r="D14" s="1" t="s">
        <v>233</v>
      </c>
      <c r="F14" s="1" t="s">
        <v>274</v>
      </c>
      <c r="I14" s="1" t="s">
        <v>275</v>
      </c>
    </row>
    <row r="15" customFormat="false" ht="15" hidden="false" customHeight="true" outlineLevel="0" collapsed="false">
      <c r="A15" s="1" t="s">
        <v>276</v>
      </c>
      <c r="B15" s="1" t="s">
        <v>277</v>
      </c>
      <c r="C15" s="43" t="s">
        <v>232</v>
      </c>
      <c r="D15" s="1" t="s">
        <v>233</v>
      </c>
      <c r="F15" s="1" t="s">
        <v>278</v>
      </c>
      <c r="G15" s="48" t="s">
        <v>256</v>
      </c>
      <c r="I15" s="1" t="s">
        <v>279</v>
      </c>
    </row>
    <row r="16" customFormat="false" ht="15" hidden="false" customHeight="true" outlineLevel="0" collapsed="false">
      <c r="A16" s="1" t="s">
        <v>280</v>
      </c>
      <c r="B16" s="1" t="s">
        <v>281</v>
      </c>
      <c r="C16" s="49" t="s">
        <v>249</v>
      </c>
      <c r="D16" s="1" t="s">
        <v>32</v>
      </c>
      <c r="F16" s="1" t="s">
        <v>251</v>
      </c>
      <c r="G16" s="48" t="s">
        <v>282</v>
      </c>
      <c r="I16" s="1" t="s">
        <v>283</v>
      </c>
    </row>
  </sheetData>
  <autoFilter ref="A1:I16"/>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38"/>
    <col collapsed="false" customWidth="true" hidden="false" outlineLevel="0" max="3" min="3" style="1" width="30"/>
    <col collapsed="false" customWidth="true" hidden="false" outlineLevel="0" max="5" min="4" style="1" width="18"/>
    <col collapsed="false" customWidth="true" hidden="false" outlineLevel="0" max="6" min="6" style="1" width="20"/>
    <col collapsed="false" customWidth="true" hidden="false" outlineLevel="0" max="7" min="7" style="1" width="48"/>
    <col collapsed="false" customWidth="true" hidden="false" outlineLevel="0" max="8" min="8" style="1" width="18"/>
  </cols>
  <sheetData>
    <row r="1" customFormat="false" ht="25.5" hidden="false" customHeight="true" outlineLevel="0" collapsed="false">
      <c r="A1" s="2" t="s">
        <v>284</v>
      </c>
      <c r="B1" s="2"/>
      <c r="C1" s="2"/>
      <c r="D1" s="2"/>
      <c r="E1" s="2"/>
      <c r="F1" s="2"/>
      <c r="G1" s="2"/>
      <c r="H1" s="2"/>
    </row>
    <row r="2" customFormat="false" ht="30" hidden="false" customHeight="true" outlineLevel="0" collapsed="false">
      <c r="A2" s="3" t="s">
        <v>285</v>
      </c>
      <c r="B2" s="3"/>
      <c r="C2" s="3"/>
      <c r="D2" s="3"/>
      <c r="E2" s="3"/>
      <c r="F2" s="3"/>
      <c r="G2" s="3"/>
      <c r="H2" s="3"/>
    </row>
    <row r="4" customFormat="false" ht="15" hidden="false" customHeight="true" outlineLevel="0" collapsed="false">
      <c r="A4" s="19" t="s">
        <v>286</v>
      </c>
      <c r="B4" s="19" t="s">
        <v>287</v>
      </c>
      <c r="C4" s="19" t="s">
        <v>288</v>
      </c>
      <c r="D4" s="19" t="s">
        <v>289</v>
      </c>
      <c r="E4" s="19" t="s">
        <v>290</v>
      </c>
      <c r="F4" s="19" t="s">
        <v>291</v>
      </c>
      <c r="G4" s="19" t="s">
        <v>292</v>
      </c>
      <c r="H4" s="19" t="s">
        <v>223</v>
      </c>
    </row>
    <row r="5" customFormat="false" ht="15" hidden="false" customHeight="true" outlineLevel="0" collapsed="false">
      <c r="A5" s="43" t="s">
        <v>293</v>
      </c>
      <c r="B5" s="1" t="s">
        <v>294</v>
      </c>
      <c r="C5" s="1" t="s">
        <v>295</v>
      </c>
      <c r="D5" s="1" t="s">
        <v>296</v>
      </c>
      <c r="E5" s="1" t="s">
        <v>297</v>
      </c>
      <c r="F5" s="1" t="s">
        <v>298</v>
      </c>
      <c r="G5" s="1" t="s">
        <v>299</v>
      </c>
      <c r="H5" s="43" t="s">
        <v>300</v>
      </c>
    </row>
    <row r="6" customFormat="false" ht="15" hidden="false" customHeight="true" outlineLevel="0" collapsed="false">
      <c r="A6" s="43" t="s">
        <v>293</v>
      </c>
      <c r="B6" s="1" t="s">
        <v>301</v>
      </c>
      <c r="C6" s="1" t="s">
        <v>302</v>
      </c>
      <c r="D6" s="1" t="s">
        <v>296</v>
      </c>
      <c r="E6" s="1" t="s">
        <v>303</v>
      </c>
      <c r="F6" s="1" t="s">
        <v>304</v>
      </c>
      <c r="G6" s="1" t="s">
        <v>305</v>
      </c>
      <c r="H6" s="43" t="s">
        <v>300</v>
      </c>
    </row>
    <row r="7" customFormat="false" ht="15" hidden="false" customHeight="true" outlineLevel="0" collapsed="false">
      <c r="A7" s="43" t="s">
        <v>293</v>
      </c>
      <c r="B7" s="1" t="s">
        <v>306</v>
      </c>
      <c r="C7" s="1" t="s">
        <v>307</v>
      </c>
      <c r="D7" s="1" t="s">
        <v>296</v>
      </c>
      <c r="E7" s="1" t="s">
        <v>297</v>
      </c>
      <c r="F7" s="1" t="s">
        <v>308</v>
      </c>
      <c r="G7" s="1" t="s">
        <v>309</v>
      </c>
      <c r="H7" s="43" t="s">
        <v>300</v>
      </c>
    </row>
    <row r="8" customFormat="false" ht="15" hidden="false" customHeight="true" outlineLevel="0" collapsed="false">
      <c r="A8" s="43" t="s">
        <v>293</v>
      </c>
      <c r="B8" s="1" t="s">
        <v>310</v>
      </c>
      <c r="C8" s="1" t="s">
        <v>311</v>
      </c>
      <c r="D8" s="1" t="s">
        <v>296</v>
      </c>
      <c r="E8" s="1" t="s">
        <v>297</v>
      </c>
      <c r="F8" s="1" t="s">
        <v>312</v>
      </c>
      <c r="G8" s="1" t="s">
        <v>313</v>
      </c>
      <c r="H8" s="43" t="s">
        <v>300</v>
      </c>
    </row>
    <row r="9" customFormat="false" ht="15" hidden="false" customHeight="true" outlineLevel="0" collapsed="false">
      <c r="A9" s="25" t="s">
        <v>314</v>
      </c>
      <c r="B9" s="1" t="s">
        <v>315</v>
      </c>
      <c r="C9" s="1" t="s">
        <v>316</v>
      </c>
      <c r="D9" s="1" t="s">
        <v>296</v>
      </c>
      <c r="E9" s="1" t="s">
        <v>297</v>
      </c>
      <c r="F9" s="1" t="s">
        <v>317</v>
      </c>
      <c r="G9" s="1" t="s">
        <v>318</v>
      </c>
      <c r="H9" s="43" t="s">
        <v>300</v>
      </c>
    </row>
    <row r="10" customFormat="false" ht="15" hidden="false" customHeight="true" outlineLevel="0" collapsed="false">
      <c r="A10" s="25" t="s">
        <v>314</v>
      </c>
      <c r="B10" s="1" t="s">
        <v>319</v>
      </c>
      <c r="C10" s="1" t="s">
        <v>320</v>
      </c>
      <c r="D10" s="1" t="s">
        <v>321</v>
      </c>
      <c r="E10" s="1" t="s">
        <v>322</v>
      </c>
      <c r="F10" s="1" t="s">
        <v>323</v>
      </c>
      <c r="G10" s="1" t="s">
        <v>324</v>
      </c>
      <c r="H10" s="43" t="s">
        <v>300</v>
      </c>
    </row>
    <row r="11" customFormat="false" ht="15" hidden="false" customHeight="true" outlineLevel="0" collapsed="false">
      <c r="A11" s="25" t="s">
        <v>314</v>
      </c>
      <c r="B11" s="1" t="s">
        <v>325</v>
      </c>
      <c r="C11" s="1" t="s">
        <v>326</v>
      </c>
      <c r="D11" s="1" t="s">
        <v>296</v>
      </c>
      <c r="E11" s="1" t="s">
        <v>297</v>
      </c>
      <c r="F11" s="1" t="s">
        <v>327</v>
      </c>
      <c r="G11" s="1" t="s">
        <v>328</v>
      </c>
      <c r="H11" s="43" t="s">
        <v>300</v>
      </c>
    </row>
    <row r="12" customFormat="false" ht="15" hidden="false" customHeight="true" outlineLevel="0" collapsed="false">
      <c r="A12" s="50" t="s">
        <v>329</v>
      </c>
      <c r="B12" s="1" t="s">
        <v>330</v>
      </c>
      <c r="C12" s="1" t="s">
        <v>307</v>
      </c>
      <c r="D12" s="1" t="s">
        <v>296</v>
      </c>
      <c r="E12" s="1" t="s">
        <v>297</v>
      </c>
      <c r="F12" s="1" t="s">
        <v>331</v>
      </c>
      <c r="G12" s="1" t="s">
        <v>332</v>
      </c>
      <c r="H12" s="43" t="s">
        <v>300</v>
      </c>
    </row>
    <row r="13" customFormat="false" ht="15" hidden="false" customHeight="true" outlineLevel="0" collapsed="false">
      <c r="A13" s="49" t="s">
        <v>333</v>
      </c>
      <c r="B13" s="1" t="s">
        <v>334</v>
      </c>
      <c r="C13" s="1" t="s">
        <v>335</v>
      </c>
      <c r="D13" s="1" t="s">
        <v>336</v>
      </c>
      <c r="E13" s="1" t="s">
        <v>337</v>
      </c>
      <c r="F13" s="1" t="s">
        <v>338</v>
      </c>
      <c r="G13" s="1" t="s">
        <v>339</v>
      </c>
      <c r="H13" s="43" t="s">
        <v>340</v>
      </c>
    </row>
    <row r="14" customFormat="false" ht="15" hidden="false" customHeight="true" outlineLevel="0" collapsed="false">
      <c r="A14" s="49" t="s">
        <v>333</v>
      </c>
      <c r="B14" s="1" t="s">
        <v>341</v>
      </c>
      <c r="C14" s="1" t="s">
        <v>335</v>
      </c>
      <c r="D14" s="1" t="s">
        <v>342</v>
      </c>
      <c r="E14" s="1" t="s">
        <v>337</v>
      </c>
      <c r="F14" s="1" t="s">
        <v>343</v>
      </c>
      <c r="G14" s="1" t="s">
        <v>344</v>
      </c>
      <c r="H14" s="43" t="s">
        <v>340</v>
      </c>
    </row>
  </sheetData>
  <autoFilter ref="A1:H14"/>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2" min="2" style="1" width="92"/>
    <col collapsed="false" customWidth="true" hidden="false" outlineLevel="0" max="8" min="3" style="1" width="18"/>
  </cols>
  <sheetData>
    <row r="1" customFormat="false" ht="25.5" hidden="false" customHeight="true" outlineLevel="0" collapsed="false">
      <c r="A1" s="2" t="s">
        <v>345</v>
      </c>
      <c r="B1" s="2"/>
      <c r="C1" s="2"/>
      <c r="D1" s="2"/>
      <c r="E1" s="2"/>
      <c r="F1" s="2"/>
      <c r="G1" s="2"/>
      <c r="H1" s="2"/>
    </row>
    <row r="2" customFormat="false" ht="30" hidden="false" customHeight="true" outlineLevel="0" collapsed="false">
      <c r="A2" s="3" t="s">
        <v>346</v>
      </c>
      <c r="B2" s="3"/>
      <c r="C2" s="3"/>
      <c r="D2" s="3"/>
      <c r="E2" s="3"/>
      <c r="F2" s="3"/>
      <c r="G2" s="3"/>
      <c r="H2" s="3"/>
    </row>
    <row r="4" customFormat="false" ht="15" hidden="false" customHeight="true" outlineLevel="0" collapsed="false">
      <c r="A4" s="11" t="s">
        <v>347</v>
      </c>
      <c r="B4" s="11"/>
      <c r="C4" s="11"/>
      <c r="D4" s="11"/>
      <c r="E4" s="11"/>
      <c r="F4" s="11"/>
      <c r="G4" s="11"/>
      <c r="H4" s="11"/>
    </row>
    <row r="5" customFormat="false" ht="15" hidden="false" customHeight="true" outlineLevel="0" collapsed="false">
      <c r="A5" s="51" t="s">
        <v>348</v>
      </c>
      <c r="B5" s="51"/>
      <c r="C5" s="51"/>
      <c r="D5" s="51"/>
      <c r="E5" s="51"/>
      <c r="F5" s="51"/>
      <c r="G5" s="51"/>
      <c r="H5" s="51"/>
    </row>
    <row r="6" customFormat="false" ht="15" hidden="false" customHeight="true" outlineLevel="0" collapsed="false">
      <c r="A6" s="51"/>
      <c r="B6" s="51"/>
      <c r="C6" s="51"/>
      <c r="D6" s="51"/>
      <c r="E6" s="51"/>
      <c r="F6" s="51"/>
      <c r="G6" s="51"/>
      <c r="H6" s="51"/>
    </row>
    <row r="7" customFormat="false" ht="15" hidden="false" customHeight="true" outlineLevel="0" collapsed="false">
      <c r="A7" s="11" t="s">
        <v>349</v>
      </c>
      <c r="B7" s="11"/>
      <c r="C7" s="11"/>
      <c r="D7" s="11"/>
      <c r="E7" s="11"/>
      <c r="F7" s="11"/>
      <c r="G7" s="11"/>
      <c r="H7" s="11"/>
    </row>
    <row r="8" customFormat="false" ht="15" hidden="false" customHeight="true" outlineLevel="0" collapsed="false">
      <c r="A8" s="51" t="s">
        <v>350</v>
      </c>
      <c r="B8" s="51"/>
      <c r="C8" s="51"/>
      <c r="D8" s="51"/>
      <c r="E8" s="51"/>
      <c r="F8" s="51"/>
      <c r="G8" s="51"/>
      <c r="H8" s="51"/>
    </row>
    <row r="9" customFormat="false" ht="15" hidden="false" customHeight="true" outlineLevel="0" collapsed="false">
      <c r="A9" s="51"/>
      <c r="B9" s="51"/>
      <c r="C9" s="51"/>
      <c r="D9" s="51"/>
      <c r="E9" s="51"/>
      <c r="F9" s="51"/>
      <c r="G9" s="51"/>
      <c r="H9" s="51"/>
    </row>
    <row r="10" customFormat="false" ht="15" hidden="false" customHeight="true" outlineLevel="0" collapsed="false">
      <c r="A10" s="11" t="s">
        <v>12</v>
      </c>
      <c r="B10" s="11"/>
      <c r="C10" s="11"/>
      <c r="D10" s="11"/>
      <c r="E10" s="11"/>
      <c r="F10" s="11"/>
      <c r="G10" s="11"/>
      <c r="H10" s="11"/>
    </row>
    <row r="11" customFormat="false" ht="15" hidden="false" customHeight="true" outlineLevel="0" collapsed="false">
      <c r="A11" s="51" t="s">
        <v>351</v>
      </c>
      <c r="B11" s="51"/>
      <c r="C11" s="51"/>
      <c r="D11" s="51"/>
      <c r="E11" s="51"/>
      <c r="F11" s="51"/>
      <c r="G11" s="51"/>
      <c r="H11" s="51"/>
    </row>
    <row r="12" customFormat="false" ht="15" hidden="false" customHeight="true" outlineLevel="0" collapsed="false">
      <c r="A12" s="51"/>
      <c r="B12" s="51"/>
      <c r="C12" s="51"/>
      <c r="D12" s="51"/>
      <c r="E12" s="51"/>
      <c r="F12" s="51"/>
      <c r="G12" s="51"/>
      <c r="H12" s="51"/>
    </row>
    <row r="13" customFormat="false" ht="15" hidden="false" customHeight="true" outlineLevel="0" collapsed="false">
      <c r="A13" s="11" t="s">
        <v>352</v>
      </c>
      <c r="B13" s="11"/>
      <c r="C13" s="11"/>
      <c r="D13" s="11"/>
      <c r="E13" s="11"/>
      <c r="F13" s="11"/>
      <c r="G13" s="11"/>
      <c r="H13" s="11"/>
    </row>
    <row r="14" customFormat="false" ht="15" hidden="false" customHeight="true" outlineLevel="0" collapsed="false">
      <c r="A14" s="51" t="s">
        <v>353</v>
      </c>
      <c r="B14" s="51"/>
      <c r="C14" s="51"/>
      <c r="D14" s="51"/>
      <c r="E14" s="51"/>
      <c r="F14" s="51"/>
      <c r="G14" s="51"/>
      <c r="H14" s="51"/>
    </row>
    <row r="15" customFormat="false" ht="15" hidden="false" customHeight="true" outlineLevel="0" collapsed="false">
      <c r="A15" s="51"/>
      <c r="B15" s="51"/>
      <c r="C15" s="51"/>
      <c r="D15" s="51"/>
      <c r="E15" s="51"/>
      <c r="F15" s="51"/>
      <c r="G15" s="51"/>
      <c r="H15" s="51"/>
    </row>
    <row r="16" customFormat="false" ht="15" hidden="false" customHeight="true" outlineLevel="0" collapsed="false">
      <c r="A16" s="11" t="s">
        <v>354</v>
      </c>
      <c r="B16" s="11"/>
      <c r="C16" s="11"/>
      <c r="D16" s="11"/>
      <c r="E16" s="11"/>
      <c r="F16" s="11"/>
      <c r="G16" s="11"/>
      <c r="H16" s="11"/>
    </row>
    <row r="17" customFormat="false" ht="15" hidden="false" customHeight="true" outlineLevel="0" collapsed="false">
      <c r="A17" s="51" t="s">
        <v>355</v>
      </c>
      <c r="B17" s="51"/>
      <c r="C17" s="51"/>
      <c r="D17" s="51"/>
      <c r="E17" s="51"/>
      <c r="F17" s="51"/>
      <c r="G17" s="51"/>
      <c r="H17" s="51"/>
    </row>
    <row r="18" customFormat="false" ht="15" hidden="false" customHeight="true" outlineLevel="0" collapsed="false">
      <c r="A18" s="51"/>
      <c r="B18" s="51"/>
      <c r="C18" s="51"/>
      <c r="D18" s="51"/>
      <c r="E18" s="51"/>
      <c r="F18" s="51"/>
      <c r="G18" s="51"/>
      <c r="H18" s="51"/>
    </row>
    <row r="19" customFormat="false" ht="15" hidden="false" customHeight="true" outlineLevel="0" collapsed="false">
      <c r="A19" s="11" t="s">
        <v>356</v>
      </c>
      <c r="B19" s="11"/>
      <c r="C19" s="11"/>
      <c r="D19" s="11"/>
      <c r="E19" s="11"/>
      <c r="F19" s="11"/>
      <c r="G19" s="11"/>
      <c r="H19" s="11"/>
    </row>
    <row r="20" customFormat="false" ht="15" hidden="false" customHeight="true" outlineLevel="0" collapsed="false">
      <c r="A20" s="51" t="s">
        <v>357</v>
      </c>
      <c r="B20" s="51"/>
      <c r="C20" s="51"/>
      <c r="D20" s="51"/>
      <c r="E20" s="51"/>
      <c r="F20" s="51"/>
      <c r="G20" s="51"/>
      <c r="H20" s="51"/>
    </row>
    <row r="21" customFormat="false" ht="15" hidden="false" customHeight="true" outlineLevel="0" collapsed="false">
      <c r="A21" s="51"/>
      <c r="B21" s="51"/>
      <c r="C21" s="51"/>
      <c r="D21" s="51"/>
      <c r="E21" s="51"/>
      <c r="F21" s="51"/>
      <c r="G21" s="51"/>
      <c r="H21" s="51"/>
    </row>
  </sheetData>
  <mergeCells count="14">
    <mergeCell ref="A1:H1"/>
    <mergeCell ref="A2:H2"/>
    <mergeCell ref="A4:H4"/>
    <mergeCell ref="A5:H6"/>
    <mergeCell ref="A7:H7"/>
    <mergeCell ref="A8:H9"/>
    <mergeCell ref="A10:H10"/>
    <mergeCell ref="A11:H12"/>
    <mergeCell ref="A13:H13"/>
    <mergeCell ref="A14:H15"/>
    <mergeCell ref="A16:H16"/>
    <mergeCell ref="A17:H18"/>
    <mergeCell ref="A19:H19"/>
    <mergeCell ref="A20:H2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2026-07-27T00:00:21Z</dcterms:created>
  <dc:creator>openpyxl</dc:creator>
  <dc:description/>
  <dc:language>en-US</dc:language>
  <cp:lastModifiedBy/>
  <dcterms:modified xsi:type="dcterms:W3CDTF">2026-07-27T00:00:40Z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