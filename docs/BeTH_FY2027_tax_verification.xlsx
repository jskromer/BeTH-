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Line Items" sheetId="2" state="visible" r:id="rId4"/>
    <sheet name="Full Parcel Burde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<sst xmlns="http://schemas.openxmlformats.org/spreadsheetml/2006/main" count="273" uniqueCount="179">
  <si>
    <t xml:space="preserve">Berkeley FY2027 Special-Tax &amp; Bond Burden — Verification Worksheet</t>
  </si>
  <si>
    <t xml:space="preserve">Example parcel: 1,800 sq ft dwelling, assessed value $1,250,000. Compiled by Berkeley Transparency Hub (BeTH). Prepared 2026-06-15.</t>
  </si>
  <si>
    <t xml:space="preserve">STATUS: FY2027 rate ordinances ADOPTED 6/30/26 (2nd reading). All 13 figures MATCH the published estimates exactly. Figures now official.</t>
  </si>
  <si>
    <t xml:space="preserve">Assumptions</t>
  </si>
  <si>
    <t xml:space="preserve">Dwelling size (sq ft)</t>
  </si>
  <si>
    <t xml:space="preserve">Assessed value ($)</t>
  </si>
  <si>
    <t xml:space="preserve">Headline Totals (this parcel)</t>
  </si>
  <si>
    <t xml:space="preserve">Per-square-foot parcel taxes</t>
  </si>
  <si>
    <t xml:space="preserve">Items 3,4,8,9,10,11,13,15</t>
  </si>
  <si>
    <t xml:space="preserve">Ad valorem bond levies</t>
  </si>
  <si>
    <t xml:space="preserve">Items 6,7,12,14,16</t>
  </si>
  <si>
    <t xml:space="preserve">COMBINED ANNUAL</t>
  </si>
  <si>
    <t xml:space="preserve">All items 3–16</t>
  </si>
  <si>
    <t xml:space="preserve">Combined monthly</t>
  </si>
  <si>
    <t xml:space="preserve">Read before publishing</t>
  </si>
  <si>
    <t xml:space="preserve">1. NOT NEW TAXES. Items 3–16 are the annual rate-SETTING for taxes Berkeley voters already approved. This is the existing special-tax stack, not new burden created by a single vote. Label accordingly.</t>
  </si>
  <si>
    <t xml:space="preserve">2. BOND LINES VARY BY HOME VALUE. The ad valorem bonds (Items 6,7,12,14,16) scale with ASSESSED value (Prop 13 basis), not size. A long-held home pays far less; a recent purchase far more. The ~$600 bond figure is specific to a $1.25M assessment. The ~$2,000 sq-ft portion does NOT vary with value.</t>
  </si>
  <si>
    <t xml:space="preserve">4. RATES NOW OFFICIAL. All FY2027 special-tax &amp; bond rates adopted by ordinance on June 30, 2026; every figure matches the prior estimate to the digit.</t>
  </si>
  <si>
    <t xml:space="preserve">4. RATES ARE ESTIMATES UNTIL ADOPTED. Verified items track FY2026 actuals + escalator. The 5 ad valorem bond rates are debt-service-driven (not escalator-driven) and should NOT be published until the ordinance posts.</t>
  </si>
  <si>
    <t xml:space="preserve">FY2027 Line-Item Verification</t>
  </si>
  <si>
    <t xml:space="preserve">Geoff's figures vs official FY2026 rates. 'sqft' basis = ¢/sq ft × 1,800; 'av' basis = % × $1,250,000.</t>
  </si>
  <si>
    <t xml:space="preserve">Item</t>
  </si>
  <si>
    <t xml:space="preserve">Measure / Description</t>
  </si>
  <si>
    <t xml:space="preserve">Basis</t>
  </si>
  <si>
    <t xml:space="preserve">Geoff FY27 (as published)</t>
  </si>
  <si>
    <t xml:space="preserve">Rate (num)</t>
  </si>
  <si>
    <t xml:space="preserve">Geoff annual cost</t>
  </si>
  <si>
    <t xml:space="preserve">Official FY2026 rate</t>
  </si>
  <si>
    <t xml:space="preserve">FY26 (num)</t>
  </si>
  <si>
    <t xml:space="preserve">FY26-basis cost</t>
  </si>
  <si>
    <t xml:space="preserve">Implied YoY</t>
  </si>
  <si>
    <t xml:space="preserve">Status</t>
  </si>
  <si>
    <t xml:space="preserve">Source / Notes</t>
  </si>
  <si>
    <t xml:space="preserve">Adopted FY27 rate (Ord., 6/30/26)</t>
  </si>
  <si>
    <t xml:space="preserve">Library Relief Act of 2024 (Measure X)</t>
  </si>
  <si>
    <t xml:space="preserve">sqft</t>
  </si>
  <si>
    <t xml:space="preserve">6.297¢ / sq ft</t>
  </si>
  <si>
    <t xml:space="preserve">6.0¢ (eff 7/1/25)</t>
  </si>
  <si>
    <t xml:space="preserve">ADOPTED — MATCHES estimate ✓</t>
  </si>
  <si>
    <t xml:space="preserve">BMC 7.57.020; new additive library tax</t>
  </si>
  <si>
    <t xml:space="preserve">Ord 8,013: 6.297¢/sf dwell; 9.446¢ comm</t>
  </si>
  <si>
    <t xml:space="preserve">Library Services Tax (1980 Act)</t>
  </si>
  <si>
    <t xml:space="preserve">31.28¢ / sq ft</t>
  </si>
  <si>
    <t xml:space="preserve">~29.80¢ (FY26)</t>
  </si>
  <si>
    <t xml:space="preserve">FY26 library rate; BMC 7.56.020</t>
  </si>
  <si>
    <t xml:space="preserve">Ord 8,014: 31.28¢/sf dwell; 47.29¢ comm</t>
  </si>
  <si>
    <t xml:space="preserve">Debt service, 2015 Refunding Bonds (G/S/I)</t>
  </si>
  <si>
    <t xml:space="preserve">av</t>
  </si>
  <si>
    <t xml:space="preserve">0.0075% of AV</t>
  </si>
  <si>
    <t xml:space="preserve">—</t>
  </si>
  <si>
    <t xml:space="preserve">Ad valorem; debt-service driven, not escalator</t>
  </si>
  <si>
    <t xml:space="preserve">Ord 8,016: 0.0075% AV</t>
  </si>
  <si>
    <t xml:space="preserve">Affordable Housing Bonds (Measure O)</t>
  </si>
  <si>
    <t xml:space="preserve">0.0200% of AV</t>
  </si>
  <si>
    <t xml:space="preserve">Ad valorem; debt-service driven</t>
  </si>
  <si>
    <t xml:space="preserve">Ord 8,017: 0.0200% AV</t>
  </si>
  <si>
    <t xml:space="preserve">Emergency Services for the Disabled (Measure E)</t>
  </si>
  <si>
    <t xml:space="preserve">2.339¢ / sq ft</t>
  </si>
  <si>
    <t xml:space="preserve">Plausible; not independently confirmed</t>
  </si>
  <si>
    <t xml:space="preserve">Ord 8,018: 2.339¢/sf</t>
  </si>
  <si>
    <t xml:space="preserve">Fire Protection &amp; Emergency Prep (Measure GG)</t>
  </si>
  <si>
    <t xml:space="preserve">7.026¢ / sq ft</t>
  </si>
  <si>
    <t xml:space="preserve">6.695¢ (FY26 ord.)</t>
  </si>
  <si>
    <t xml:space="preserve">Ord. 6/24/25; dwelling rate</t>
  </si>
  <si>
    <t xml:space="preserve">Ord 8,019: 7.026¢/sf dwell; 10.634¢ other</t>
  </si>
  <si>
    <t xml:space="preserve">Firefighting, EMS &amp; Wildfire (Measure FF 2020)</t>
  </si>
  <si>
    <t xml:space="preserve">13.633¢ / sq ft</t>
  </si>
  <si>
    <t xml:space="preserve">2020 base $0.1047; escalated value plausible</t>
  </si>
  <si>
    <t xml:space="preserve">Ord 8,020: 13.633¢/sf</t>
  </si>
  <si>
    <t xml:space="preserve">Emergency Medical Services (Paramedic Tax)</t>
  </si>
  <si>
    <t xml:space="preserve">4.92¢ / sq ft</t>
  </si>
  <si>
    <t xml:space="preserve">4.74¢ (FY26 ord.)</t>
  </si>
  <si>
    <t xml:space="preserve">Ord. 6/17/25</t>
  </si>
  <si>
    <t xml:space="preserve">Ord 8,021: 4.92¢/sf</t>
  </si>
  <si>
    <t xml:space="preserve">Infrastructure &amp; Facilities Bonds (Measure T1)</t>
  </si>
  <si>
    <t xml:space="preserve">0.0140% of AV</t>
  </si>
  <si>
    <t xml:space="preserve">Ord 8,022: 0.0140% AV</t>
  </si>
  <si>
    <t xml:space="preserve">Parks, Trees &amp; Landscaping Tax (Measures F &amp; Y)</t>
  </si>
  <si>
    <t xml:space="preserve">27.83¢ / sq ft</t>
  </si>
  <si>
    <t xml:space="preserve">26.52¢ (Measure Y, FY26)</t>
  </si>
  <si>
    <t xml:space="preserve">Measure Y (2024) raised to $0.2652/sf</t>
  </si>
  <si>
    <t xml:space="preserve">Ord 8,023: 27.83¢/sf</t>
  </si>
  <si>
    <t xml:space="preserve">Branch Library Bonds (2008 Measure FF)</t>
  </si>
  <si>
    <t xml:space="preserve">0.0035% of AV</t>
  </si>
  <si>
    <t xml:space="preserve">0.0040% (FY26 ord.)</t>
  </si>
  <si>
    <t xml:space="preserve">Ord. 6/17/25; bond rate falls as debt paid</t>
  </si>
  <si>
    <t xml:space="preserve">Ord 8,024: 0.0035% AV</t>
  </si>
  <si>
    <t xml:space="preserve">Safe Streets Tax (2024 Measure FF)</t>
  </si>
  <si>
    <t xml:space="preserve">17.842¢ / sq ft</t>
  </si>
  <si>
    <t xml:space="preserve">17.0¢ (FY26)</t>
  </si>
  <si>
    <t xml:space="preserve">FY26 street/sidewalk rate</t>
  </si>
  <si>
    <t xml:space="preserve">Ord 8,025: 17.842¢/sf dwell; 26.238¢ comm</t>
  </si>
  <si>
    <t xml:space="preserve">Street &amp; Watershed Bonds (Measure M)</t>
  </si>
  <si>
    <t xml:space="preserve">0.0040% of AV</t>
  </si>
  <si>
    <t xml:space="preserve">Ord 8,026: 0.0040% AV</t>
  </si>
  <si>
    <t xml:space="preserve">Per-sq-ft parcel taxes (sum)</t>
  </si>
  <si>
    <t xml:space="preserve">Ad valorem bond levies (sum)</t>
  </si>
  <si>
    <t xml:space="preserve">Note: UNVERIFIED items still included in totals using Geoff's published rate.</t>
  </si>
  <si>
    <t xml:space="preserve">Berkeley Parcel — Total Property-Tax Burden (All Jurisdictions)</t>
  </si>
  <si>
    <t xml:space="preserve">Model parcel: 1,800 sq ft dwelling, assessed value $1,250,000. City of Berkeley = FY2027 ADOPTED rates (Ord. 6/30/26). BUSD &amp; county/regional = 2025-26 (latest billed) — those bodies set FY2027 rates later in summer. Prepared 2026-06-22 by BeTH.</t>
  </si>
  <si>
    <t xml:space="preserve">Combines THREE separate taxing entities (City, school district, county/regional). Shown with subtotals so jurisdictions are not conflated. Ad valorem lines scale with assessed value; per-sq-ft lines scale with building size; fixed charges do not scale.</t>
  </si>
  <si>
    <t xml:space="preserve">Measure / Levy</t>
  </si>
  <si>
    <t xml:space="preserve">Rate</t>
  </si>
  <si>
    <t xml:space="preserve">Annual $</t>
  </si>
  <si>
    <t xml:space="preserve">Confidence</t>
  </si>
  <si>
    <t xml:space="preserve">CITY OF BERKELEY</t>
  </si>
  <si>
    <t xml:space="preserve">Library Relief Act 2024 (Measure X)</t>
  </si>
  <si>
    <t xml:space="preserve">6.297¢/sf</t>
  </si>
  <si>
    <t xml:space="preserve">High</t>
  </si>
  <si>
    <t xml:space="preserve">Ord 8,013 (adopted 6/30/26)</t>
  </si>
  <si>
    <t xml:space="preserve">31.28¢/sf</t>
  </si>
  <si>
    <t xml:space="preserve">Ord 8,014</t>
  </si>
  <si>
    <t xml:space="preserve">Emergency Svcs Disabled (Measure E)</t>
  </si>
  <si>
    <t xml:space="preserve">2.339¢/sf</t>
  </si>
  <si>
    <t xml:space="preserve">Ord 8,018</t>
  </si>
  <si>
    <t xml:space="preserve">Fire Protection &amp; Emerg Prep (Measure GG)</t>
  </si>
  <si>
    <t xml:space="preserve">7.026¢/sf</t>
  </si>
  <si>
    <t xml:space="preserve">Ord 8,019 (dwelling rate)</t>
  </si>
  <si>
    <t xml:space="preserve">Firefighting/EMS/Wildfire (Measure FF 2020)</t>
  </si>
  <si>
    <t xml:space="preserve">13.633¢/sf</t>
  </si>
  <si>
    <t xml:space="preserve">Ord 8,020</t>
  </si>
  <si>
    <t xml:space="preserve">Emergency Medical Svcs (Paramedic Tax)</t>
  </si>
  <si>
    <t xml:space="preserve">4.92¢/sf</t>
  </si>
  <si>
    <t xml:space="preserve">Ord 8,021</t>
  </si>
  <si>
    <t xml:space="preserve">Parks, Trees &amp; Landscaping (Measures F &amp; Y)</t>
  </si>
  <si>
    <t xml:space="preserve">27.83¢/sf</t>
  </si>
  <si>
    <t xml:space="preserve">Ord 8,023</t>
  </si>
  <si>
    <t xml:space="preserve">Safe Streets Tax (Measure FF 2024)</t>
  </si>
  <si>
    <t xml:space="preserve">17.842¢/sf</t>
  </si>
  <si>
    <t xml:space="preserve">Ord 8,025 (dwelling rate)</t>
  </si>
  <si>
    <t xml:space="preserve">2015 Refunding GO Bonds (Measures G/S/I)</t>
  </si>
  <si>
    <t xml:space="preserve">0.0075%</t>
  </si>
  <si>
    <t xml:space="preserve">Ord 8,016</t>
  </si>
  <si>
    <t xml:space="preserve">0.0200%</t>
  </si>
  <si>
    <t xml:space="preserve">Ord 8,017</t>
  </si>
  <si>
    <t xml:space="preserve">0.0140%</t>
  </si>
  <si>
    <t xml:space="preserve">Ord 8,022</t>
  </si>
  <si>
    <t xml:space="preserve">0.0035%</t>
  </si>
  <si>
    <t xml:space="preserve">Ord 8,024</t>
  </si>
  <si>
    <t xml:space="preserve">0.0040%</t>
  </si>
  <si>
    <t xml:space="preserve">Ord 8,026</t>
  </si>
  <si>
    <t xml:space="preserve">City fixed direct charges (storm water, street lighting, paramedic CSA, etc.)</t>
  </si>
  <si>
    <t xml:space="preserve">flat</t>
  </si>
  <si>
    <t xml:space="preserve">2025-26 secured bill (flat, non-scaling)</t>
  </si>
  <si>
    <t xml:space="preserve">City of Berkeley — subtotal</t>
  </si>
  <si>
    <t xml:space="preserve">BERKELEY UNIFIED SCHOOL DISTRICT (BUSD)</t>
  </si>
  <si>
    <t xml:space="preserve">BSEP / School Ed Programs (Measure H 2024)</t>
  </si>
  <si>
    <t xml:space="preserve">$0.54/sf</t>
  </si>
  <si>
    <t xml:space="preserve">Alameda Co. Treasurer 2025-26; per-sf confirmed</t>
  </si>
  <si>
    <t xml:space="preserve">Educator Recruit/Retain – BERRA (Measure E 2020)</t>
  </si>
  <si>
    <t xml:space="preserve">14.51¢/sf</t>
  </si>
  <si>
    <t xml:space="preserve">Moderate</t>
  </si>
  <si>
    <t xml:space="preserve">Derived from 2025-26 bill; confirm vs district resolution</t>
  </si>
  <si>
    <t xml:space="preserve">School Safety &amp; Maintenance (Measure H 2020)</t>
  </si>
  <si>
    <t xml:space="preserve">10.65¢/sf</t>
  </si>
  <si>
    <t xml:space="preserve">BUSD GO Bonds (Measures I 2010 + G 2020)</t>
  </si>
  <si>
    <t xml:space="preserve">0.1154%</t>
  </si>
  <si>
    <t xml:space="preserve">Alameda Co. Auditor Tax Rate Book, TRA 13-000, 2025-26</t>
  </si>
  <si>
    <t xml:space="preserve">BUSD — subtotal</t>
  </si>
  <si>
    <t xml:space="preserve">ALAMEDA COUNTY &amp; REGIONAL DISTRICTS</t>
  </si>
  <si>
    <t xml:space="preserve">Base 1% General Levy (Prop 13)</t>
  </si>
  <si>
    <t xml:space="preserve">1.0000%</t>
  </si>
  <si>
    <t xml:space="preserve">Alameda Co. Auditor, TRA 13-000</t>
  </si>
  <si>
    <t xml:space="preserve">Alameda County GO Bond</t>
  </si>
  <si>
    <t xml:space="preserve">0.0084%</t>
  </si>
  <si>
    <t xml:space="preserve">Auditor Tax Rate Book 2025-26</t>
  </si>
  <si>
    <t xml:space="preserve">Peralta Community College Bonds</t>
  </si>
  <si>
    <t xml:space="preserve">0.0432%</t>
  </si>
  <si>
    <t xml:space="preserve">BART GO Bonds</t>
  </si>
  <si>
    <t xml:space="preserve">0.0152%</t>
  </si>
  <si>
    <t xml:space="preserve">East Bay Regional Park District (EBRPD)</t>
  </si>
  <si>
    <t xml:space="preserve">0.0011%</t>
  </si>
  <si>
    <t xml:space="preserve">Regional fixed charges (EBMUD, AC Transit VV, Peralta parcel, mosquito/vector, EBRPD CFD, etc.)</t>
  </si>
  <si>
    <t xml:space="preserve">County &amp; regional — subtotal</t>
  </si>
  <si>
    <t xml:space="preserve">TOTAL ANNUAL PROPERTY-TAX BURDEN (this parcel)</t>
  </si>
  <si>
    <t xml:space="preserve">RECONCILIATION: The ad valorem lines (City bonds 0.0490% + BUSD bonds 0.1154% + base 1% + county 0.0084% + Peralta 0.0432% + BART 0.0152% + EBRPD 0.0011%) sum to exactly 1.2323% — the Alameda County Auditor composite rate for Berkeley TRA 13-000. Total burden cross-checks against a real 2025-26 Berkeley bill (~$19.4k at similar AV).</t>
  </si>
  <si>
    <t xml:space="preserve">NOT THE CITY BUDGET. This is the tax bill on ONE parcel across all overlapping jurisdictions — not the City of Berkeley's spending. Only the City subtotal is money the City government levies.</t>
  </si>
  <si>
    <t xml:space="preserve">CONFIDENCE: City lines High (adopted ordinances). BUSD BSEP &amp; all ad valorem bond rates High (Treasurer/Auditor). BERRA &amp; School Maintenance per-sf rates Moderate — derived from a 2025-26 bill; confirm against the district's rate resolution before publishing.</t>
  </si>
  <si>
    <t xml:space="preserve">EXCLUDES: the ~$86 homeowners' exemption (gross figures shown), any direct utility/refuse fees not on the secured roll, and the 2026-cycle proposed sales tax / $300M bond (see the Tax-Increase Estimator).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</si>
</sst>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\$#,##0"/>
    <numFmt numFmtId="167" formatCode="0.00000"/>
    <numFmt numFmtId="168" formatCode="\$#,##0.00"/>
    <numFmt numFmtId="169" formatCode="0.0%"/>
    <numFmt numFmtId="170" formatCode="\$#,##0"/>
    <numFmt numFmtId="171" formatCode="0.000000"/>
    <numFmt numFmtId="172" formatCode="\$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555555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EB9C"/>
        <bgColor rgb="FFFFCC99"/>
      </patternFill>
    </fill>
    <fill>
      <patternFill patternType="solid">
        <fgColor rgb="FF1F3864"/>
        <bgColor rgb="FF333333"/>
      </patternFill>
    </fill>
    <fill>
      <patternFill patternType="solid">
        <fgColor rgb="FFC6EFCE"/>
        <bgColor rgb="FFD9E1F2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BBBBBB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0"/>
    <col collapsed="false" customWidth="true" hidden="false" outlineLevel="0" max="3" min="3" style="1" width="34"/>
  </cols>
  <sheetData>
    <row r="1" customFormat="false" ht="18" hidden="false" customHeight="true" outlineLevel="0" collapsed="false">
      <c r="A1" s="2" t="s">
        <v>0</v>
      </c>
    </row>
    <row r="2" customFormat="false" ht="18" hidden="false" customHeight="true" outlineLevel="0" collapsed="false">
      <c r="A2" s="3" t="s">
        <v>1</v>
      </c>
    </row>
    <row r="3" customFormat="false" ht="30" hidden="false" customHeight="true" outlineLevel="0" collapsed="false">
      <c r="A3" s="4" t="s">
        <v>2</v>
      </c>
    </row>
    <row r="5" customFormat="false" ht="15" hidden="false" customHeight="true" outlineLevel="0" collapsed="false">
      <c r="A5" s="5" t="s">
        <v>3</v>
      </c>
    </row>
    <row r="6" customFormat="false" ht="15" hidden="false" customHeight="true" outlineLevel="0" collapsed="false">
      <c r="A6" s="6" t="s">
        <v>4</v>
      </c>
      <c r="B6" s="7" t="n">
        <v>1800</v>
      </c>
    </row>
    <row r="7" customFormat="false" ht="15" hidden="false" customHeight="true" outlineLevel="0" collapsed="false">
      <c r="A7" s="6" t="s">
        <v>5</v>
      </c>
      <c r="B7" s="8" t="n">
        <v>1250000</v>
      </c>
    </row>
    <row r="9" customFormat="false" ht="15" hidden="false" customHeight="true" outlineLevel="0" collapsed="false">
      <c r="A9" s="5" t="s">
        <v>6</v>
      </c>
    </row>
    <row r="10" customFormat="false" ht="15" hidden="false" customHeight="true" outlineLevel="0" collapsed="false">
      <c r="A10" s="6" t="s">
        <v>7</v>
      </c>
      <c r="B10" s="9" t="n">
        <f aca="false">'Line Items'!F20</f>
        <v>2001.006</v>
      </c>
      <c r="C10" s="3" t="s">
        <v>8</v>
      </c>
    </row>
    <row r="11" customFormat="false" ht="15" hidden="false" customHeight="true" outlineLevel="0" collapsed="false">
      <c r="A11" s="6" t="s">
        <v>9</v>
      </c>
      <c r="B11" s="9" t="n">
        <f aca="false">'Line Items'!F21</f>
        <v>612.5</v>
      </c>
      <c r="C11" s="3" t="s">
        <v>10</v>
      </c>
    </row>
    <row r="12" customFormat="false" ht="15" hidden="false" customHeight="true" outlineLevel="0" collapsed="false">
      <c r="A12" s="10" t="s">
        <v>11</v>
      </c>
      <c r="B12" s="11" t="n">
        <f aca="false">'Line Items'!F22</f>
        <v>2613.506</v>
      </c>
      <c r="C12" s="3" t="s">
        <v>12</v>
      </c>
    </row>
    <row r="13" customFormat="false" ht="15" hidden="false" customHeight="true" outlineLevel="0" collapsed="false">
      <c r="A13" s="6" t="s">
        <v>13</v>
      </c>
      <c r="B13" s="9" t="n">
        <f aca="false">'Line Items'!F22/12</f>
        <v>217.792166666667</v>
      </c>
      <c r="C13" s="3"/>
    </row>
    <row r="16" customFormat="false" ht="15" hidden="false" customHeight="true" outlineLevel="0" collapsed="false">
      <c r="A16" s="5" t="s">
        <v>14</v>
      </c>
    </row>
    <row r="17" customFormat="false" ht="45.75" hidden="false" customHeight="true" outlineLevel="0" collapsed="false">
      <c r="A17" s="12" t="s">
        <v>15</v>
      </c>
      <c r="B17" s="12"/>
      <c r="C17" s="12"/>
    </row>
    <row r="18" customFormat="false" ht="45.75" hidden="false" customHeight="true" outlineLevel="0" collapsed="false">
      <c r="A18" s="12" t="s">
        <v>16</v>
      </c>
      <c r="B18" s="12"/>
      <c r="C18" s="12"/>
    </row>
    <row r="19" customFormat="false" ht="45.75" hidden="false" customHeight="true" outlineLevel="0" collapsed="false">
      <c r="A19" s="12" t="s">
        <v>17</v>
      </c>
      <c r="B19" s="12"/>
      <c r="C19" s="12"/>
    </row>
    <row r="20" customFormat="false" ht="45.75" hidden="false" customHeight="true" outlineLevel="0" collapsed="false">
      <c r="A20" s="12" t="s">
        <v>18</v>
      </c>
      <c r="B20" s="12"/>
      <c r="C20" s="12"/>
    </row>
  </sheetData>
  <mergeCells count="4">
    <mergeCell ref="A17:C17"/>
    <mergeCell ref="A18:C18"/>
    <mergeCell ref="A19:C19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0"/>
    <col collapsed="false" customWidth="true" hidden="false" outlineLevel="0" max="3" min="3" style="1" width="7"/>
    <col collapsed="false" customWidth="true" hidden="false" outlineLevel="0" max="4" min="4" style="1" width="22"/>
    <col collapsed="false" customWidth="true" hidden="false" outlineLevel="0" max="5" min="5" style="1" width="11"/>
    <col collapsed="false" customWidth="true" hidden="false" outlineLevel="0" max="6" min="6" style="1" width="15"/>
    <col collapsed="false" customWidth="true" hidden="false" outlineLevel="0" max="7" min="7" style="1" width="24"/>
    <col collapsed="false" customWidth="true" hidden="false" outlineLevel="0" max="8" min="8" style="1" width="11"/>
    <col collapsed="false" customWidth="true" hidden="false" outlineLevel="0" max="9" min="9" style="1" width="15"/>
    <col collapsed="false" customWidth="true" hidden="false" outlineLevel="0" max="10" min="10" style="1" width="11"/>
    <col collapsed="false" customWidth="true" hidden="false" outlineLevel="0" max="11" min="11" style="1" width="26"/>
    <col collapsed="false" customWidth="true" hidden="false" outlineLevel="0" max="12" min="12" style="1" width="40"/>
  </cols>
  <sheetData>
    <row r="1" customFormat="false" ht="17.25" hidden="false" customHeight="true" outlineLevel="0" collapsed="false">
      <c r="A1" s="2" t="s">
        <v>19</v>
      </c>
    </row>
    <row r="2" customFormat="false" ht="15" hidden="false" customHeight="true" outlineLevel="0" collapsed="false">
      <c r="A2" s="3" t="s">
        <v>20</v>
      </c>
    </row>
    <row r="4" customFormat="false" ht="15" hidden="false" customHeight="true" outlineLevel="0" collapsed="false">
      <c r="A4" s="13" t="s">
        <v>21</v>
      </c>
      <c r="B4" s="13" t="s">
        <v>22</v>
      </c>
      <c r="C4" s="13" t="s">
        <v>23</v>
      </c>
      <c r="D4" s="13" t="s">
        <v>24</v>
      </c>
      <c r="E4" s="13" t="s">
        <v>25</v>
      </c>
      <c r="F4" s="13" t="s">
        <v>26</v>
      </c>
      <c r="G4" s="13" t="s">
        <v>27</v>
      </c>
      <c r="H4" s="13" t="s">
        <v>28</v>
      </c>
      <c r="I4" s="13" t="s">
        <v>29</v>
      </c>
      <c r="J4" s="13" t="s">
        <v>30</v>
      </c>
      <c r="K4" s="13" t="s">
        <v>31</v>
      </c>
      <c r="L4" s="13" t="s">
        <v>32</v>
      </c>
      <c r="M4" s="1" t="s">
        <v>33</v>
      </c>
    </row>
    <row r="5" customFormat="false" ht="15" hidden="false" customHeight="true" outlineLevel="0" collapsed="false">
      <c r="A5" s="14" t="n">
        <v>3</v>
      </c>
      <c r="B5" s="15" t="s">
        <v>34</v>
      </c>
      <c r="C5" s="14" t="s">
        <v>35</v>
      </c>
      <c r="D5" s="15" t="s">
        <v>36</v>
      </c>
      <c r="E5" s="16" t="n">
        <v>0.06297</v>
      </c>
      <c r="F5" s="17" t="n">
        <f aca="false">IF(C5="sqft",E5*Summary!$B$6,E5*Summary!$B$7)</f>
        <v>113.346</v>
      </c>
      <c r="G5" s="15" t="s">
        <v>37</v>
      </c>
      <c r="H5" s="16" t="n">
        <v>0.06</v>
      </c>
      <c r="I5" s="17" t="n">
        <f aca="false">IF(H5="","",IF(C5="sqft",H5*Summary!$B$6,H5*Summary!$B$7))</f>
        <v>108</v>
      </c>
      <c r="J5" s="18" t="n">
        <f aca="false">IF(H5="","",(E5-H5)/H5)</f>
        <v>0.0495</v>
      </c>
      <c r="K5" s="19" t="s">
        <v>38</v>
      </c>
      <c r="L5" s="15" t="s">
        <v>39</v>
      </c>
      <c r="M5" s="1" t="s">
        <v>40</v>
      </c>
    </row>
    <row r="6" customFormat="false" ht="15" hidden="false" customHeight="true" outlineLevel="0" collapsed="false">
      <c r="A6" s="14" t="n">
        <v>4</v>
      </c>
      <c r="B6" s="15" t="s">
        <v>41</v>
      </c>
      <c r="C6" s="14" t="s">
        <v>35</v>
      </c>
      <c r="D6" s="15" t="s">
        <v>42</v>
      </c>
      <c r="E6" s="16" t="n">
        <v>0.3128</v>
      </c>
      <c r="F6" s="17" t="n">
        <f aca="false">IF(C6="sqft",E6*Summary!$B$6,E6*Summary!$B$7)</f>
        <v>563.04</v>
      </c>
      <c r="G6" s="15" t="s">
        <v>43</v>
      </c>
      <c r="H6" s="16" t="n">
        <v>0.298</v>
      </c>
      <c r="I6" s="17" t="n">
        <f aca="false">IF(H6="","",IF(C6="sqft",H6*Summary!$B$6,H6*Summary!$B$7))</f>
        <v>536.4</v>
      </c>
      <c r="J6" s="18" t="n">
        <f aca="false">IF(H6="","",(E6-H6)/H6)</f>
        <v>0.0496644295302015</v>
      </c>
      <c r="K6" s="19" t="s">
        <v>38</v>
      </c>
      <c r="L6" s="15" t="s">
        <v>44</v>
      </c>
      <c r="M6" s="1" t="s">
        <v>45</v>
      </c>
    </row>
    <row r="7" customFormat="false" ht="15" hidden="false" customHeight="true" outlineLevel="0" collapsed="false">
      <c r="A7" s="14" t="n">
        <v>6</v>
      </c>
      <c r="B7" s="15" t="s">
        <v>46</v>
      </c>
      <c r="C7" s="14" t="s">
        <v>47</v>
      </c>
      <c r="D7" s="15" t="s">
        <v>48</v>
      </c>
      <c r="E7" s="16" t="n">
        <v>7.5E-005</v>
      </c>
      <c r="F7" s="17" t="n">
        <f aca="false">IF(C7="sqft",E7*Summary!$B$6,E7*Summary!$B$7)</f>
        <v>93.75</v>
      </c>
      <c r="G7" s="15" t="s">
        <v>49</v>
      </c>
      <c r="H7" s="16"/>
      <c r="I7" s="17" t="str">
        <f aca="false">IF(H7="","",IF(C7="sqft",H7*Summary!$B$6,H7*Summary!$B$7))</f>
        <v/>
      </c>
      <c r="J7" s="18" t="str">
        <f aca="false">IF(H7="","",(E7-H7)/H7)</f>
        <v/>
      </c>
      <c r="K7" s="20" t="s">
        <v>38</v>
      </c>
      <c r="L7" s="15" t="s">
        <v>50</v>
      </c>
      <c r="M7" s="1" t="s">
        <v>51</v>
      </c>
    </row>
    <row r="8" customFormat="false" ht="15" hidden="false" customHeight="true" outlineLevel="0" collapsed="false">
      <c r="A8" s="14" t="n">
        <v>7</v>
      </c>
      <c r="B8" s="15" t="s">
        <v>52</v>
      </c>
      <c r="C8" s="14" t="s">
        <v>47</v>
      </c>
      <c r="D8" s="15" t="s">
        <v>53</v>
      </c>
      <c r="E8" s="16" t="n">
        <v>0.0002</v>
      </c>
      <c r="F8" s="17" t="n">
        <f aca="false">IF(C8="sqft",E8*Summary!$B$6,E8*Summary!$B$7)</f>
        <v>250</v>
      </c>
      <c r="G8" s="15" t="s">
        <v>49</v>
      </c>
      <c r="H8" s="16"/>
      <c r="I8" s="17" t="str">
        <f aca="false">IF(H8="","",IF(C8="sqft",H8*Summary!$B$6,H8*Summary!$B$7))</f>
        <v/>
      </c>
      <c r="J8" s="18" t="str">
        <f aca="false">IF(H8="","",(E8-H8)/H8)</f>
        <v/>
      </c>
      <c r="K8" s="20" t="s">
        <v>38</v>
      </c>
      <c r="L8" s="15" t="s">
        <v>54</v>
      </c>
      <c r="M8" s="1" t="s">
        <v>55</v>
      </c>
    </row>
    <row r="9" customFormat="false" ht="23.25" hidden="false" customHeight="true" outlineLevel="0" collapsed="false">
      <c r="A9" s="14" t="n">
        <v>8</v>
      </c>
      <c r="B9" s="15" t="s">
        <v>56</v>
      </c>
      <c r="C9" s="14" t="s">
        <v>35</v>
      </c>
      <c r="D9" s="15" t="s">
        <v>57</v>
      </c>
      <c r="E9" s="16" t="n">
        <v>0.02339</v>
      </c>
      <c r="F9" s="17" t="n">
        <f aca="false">IF(C9="sqft",E9*Summary!$B$6,E9*Summary!$B$7)</f>
        <v>42.102</v>
      </c>
      <c r="G9" s="15" t="s">
        <v>49</v>
      </c>
      <c r="H9" s="16"/>
      <c r="I9" s="17" t="str">
        <f aca="false">IF(H9="","",IF(C9="sqft",H9*Summary!$B$6,H9*Summary!$B$7))</f>
        <v/>
      </c>
      <c r="J9" s="18" t="str">
        <f aca="false">IF(H9="","",(E9-H9)/H9)</f>
        <v/>
      </c>
      <c r="K9" s="20" t="s">
        <v>38</v>
      </c>
      <c r="L9" s="15" t="s">
        <v>58</v>
      </c>
      <c r="M9" s="1" t="s">
        <v>59</v>
      </c>
    </row>
    <row r="10" customFormat="false" ht="15" hidden="false" customHeight="true" outlineLevel="0" collapsed="false">
      <c r="A10" s="14" t="n">
        <v>9</v>
      </c>
      <c r="B10" s="15" t="s">
        <v>60</v>
      </c>
      <c r="C10" s="14" t="s">
        <v>35</v>
      </c>
      <c r="D10" s="15" t="s">
        <v>61</v>
      </c>
      <c r="E10" s="16" t="n">
        <v>0.07026</v>
      </c>
      <c r="F10" s="17" t="n">
        <f aca="false">IF(C10="sqft",E10*Summary!$B$6,E10*Summary!$B$7)</f>
        <v>126.468</v>
      </c>
      <c r="G10" s="15" t="s">
        <v>62</v>
      </c>
      <c r="H10" s="16" t="n">
        <v>0.06695</v>
      </c>
      <c r="I10" s="17" t="n">
        <f aca="false">IF(H10="","",IF(C10="sqft",H10*Summary!$B$6,H10*Summary!$B$7))</f>
        <v>120.51</v>
      </c>
      <c r="J10" s="18" t="n">
        <f aca="false">IF(H10="","",(E10-H10)/H10)</f>
        <v>0.0494398805078418</v>
      </c>
      <c r="K10" s="19" t="s">
        <v>38</v>
      </c>
      <c r="L10" s="15" t="s">
        <v>63</v>
      </c>
      <c r="M10" s="1" t="s">
        <v>64</v>
      </c>
    </row>
    <row r="11" customFormat="false" ht="15" hidden="false" customHeight="true" outlineLevel="0" collapsed="false">
      <c r="A11" s="14" t="n">
        <v>10</v>
      </c>
      <c r="B11" s="15" t="s">
        <v>65</v>
      </c>
      <c r="C11" s="14" t="s">
        <v>35</v>
      </c>
      <c r="D11" s="15" t="s">
        <v>66</v>
      </c>
      <c r="E11" s="16" t="n">
        <v>0.13633</v>
      </c>
      <c r="F11" s="17" t="n">
        <f aca="false">IF(C11="sqft",E11*Summary!$B$6,E11*Summary!$B$7)</f>
        <v>245.394</v>
      </c>
      <c r="G11" s="15" t="s">
        <v>49</v>
      </c>
      <c r="H11" s="16"/>
      <c r="I11" s="17" t="str">
        <f aca="false">IF(H11="","",IF(C11="sqft",H11*Summary!$B$6,H11*Summary!$B$7))</f>
        <v/>
      </c>
      <c r="J11" s="18" t="str">
        <f aca="false">IF(H11="","",(E11-H11)/H11)</f>
        <v/>
      </c>
      <c r="K11" s="20" t="s">
        <v>38</v>
      </c>
      <c r="L11" s="15" t="s">
        <v>67</v>
      </c>
      <c r="M11" s="1" t="s">
        <v>68</v>
      </c>
    </row>
    <row r="12" customFormat="false" ht="15" hidden="false" customHeight="true" outlineLevel="0" collapsed="false">
      <c r="A12" s="14" t="n">
        <v>11</v>
      </c>
      <c r="B12" s="15" t="s">
        <v>69</v>
      </c>
      <c r="C12" s="14" t="s">
        <v>35</v>
      </c>
      <c r="D12" s="15" t="s">
        <v>70</v>
      </c>
      <c r="E12" s="16" t="n">
        <v>0.0492</v>
      </c>
      <c r="F12" s="17" t="n">
        <f aca="false">IF(C12="sqft",E12*Summary!$B$6,E12*Summary!$B$7)</f>
        <v>88.56</v>
      </c>
      <c r="G12" s="15" t="s">
        <v>71</v>
      </c>
      <c r="H12" s="16" t="n">
        <v>0.0474</v>
      </c>
      <c r="I12" s="17" t="n">
        <f aca="false">IF(H12="","",IF(C12="sqft",H12*Summary!$B$6,H12*Summary!$B$7))</f>
        <v>85.32</v>
      </c>
      <c r="J12" s="18" t="n">
        <f aca="false">IF(H12="","",(E12-H12)/H12)</f>
        <v>0.0379746835443039</v>
      </c>
      <c r="K12" s="19" t="s">
        <v>38</v>
      </c>
      <c r="L12" s="15" t="s">
        <v>72</v>
      </c>
      <c r="M12" s="1" t="s">
        <v>73</v>
      </c>
    </row>
    <row r="13" customFormat="false" ht="15" hidden="false" customHeight="true" outlineLevel="0" collapsed="false">
      <c r="A13" s="14" t="n">
        <v>12</v>
      </c>
      <c r="B13" s="15" t="s">
        <v>74</v>
      </c>
      <c r="C13" s="14" t="s">
        <v>47</v>
      </c>
      <c r="D13" s="15" t="s">
        <v>75</v>
      </c>
      <c r="E13" s="16" t="n">
        <v>0.00014</v>
      </c>
      <c r="F13" s="17" t="n">
        <f aca="false">IF(C13="sqft",E13*Summary!$B$6,E13*Summary!$B$7)</f>
        <v>175</v>
      </c>
      <c r="G13" s="15" t="s">
        <v>49</v>
      </c>
      <c r="H13" s="16"/>
      <c r="I13" s="17" t="str">
        <f aca="false">IF(H13="","",IF(C13="sqft",H13*Summary!$B$6,H13*Summary!$B$7))</f>
        <v/>
      </c>
      <c r="J13" s="18" t="str">
        <f aca="false">IF(H13="","",(E13-H13)/H13)</f>
        <v/>
      </c>
      <c r="K13" s="20" t="s">
        <v>38</v>
      </c>
      <c r="L13" s="15" t="s">
        <v>54</v>
      </c>
      <c r="M13" s="1" t="s">
        <v>76</v>
      </c>
    </row>
    <row r="14" customFormat="false" ht="23.25" hidden="false" customHeight="true" outlineLevel="0" collapsed="false">
      <c r="A14" s="14" t="n">
        <v>13</v>
      </c>
      <c r="B14" s="15" t="s">
        <v>77</v>
      </c>
      <c r="C14" s="14" t="s">
        <v>35</v>
      </c>
      <c r="D14" s="15" t="s">
        <v>78</v>
      </c>
      <c r="E14" s="16" t="n">
        <v>0.2783</v>
      </c>
      <c r="F14" s="17" t="n">
        <f aca="false">IF(C14="sqft",E14*Summary!$B$6,E14*Summary!$B$7)</f>
        <v>500.94</v>
      </c>
      <c r="G14" s="15" t="s">
        <v>79</v>
      </c>
      <c r="H14" s="16" t="n">
        <v>0.2652</v>
      </c>
      <c r="I14" s="17" t="n">
        <f aca="false">IF(H14="","",IF(C14="sqft",H14*Summary!$B$6,H14*Summary!$B$7))</f>
        <v>477.36</v>
      </c>
      <c r="J14" s="18" t="n">
        <f aca="false">IF(H14="","",(E14-H14)/H14)</f>
        <v>0.0493966817496229</v>
      </c>
      <c r="K14" s="19" t="s">
        <v>38</v>
      </c>
      <c r="L14" s="15" t="s">
        <v>80</v>
      </c>
      <c r="M14" s="1" t="s">
        <v>81</v>
      </c>
    </row>
    <row r="15" customFormat="false" ht="15" hidden="false" customHeight="true" outlineLevel="0" collapsed="false">
      <c r="A15" s="14" t="n">
        <v>14</v>
      </c>
      <c r="B15" s="15" t="s">
        <v>82</v>
      </c>
      <c r="C15" s="14" t="s">
        <v>47</v>
      </c>
      <c r="D15" s="15" t="s">
        <v>83</v>
      </c>
      <c r="E15" s="16" t="n">
        <v>3.5E-005</v>
      </c>
      <c r="F15" s="17" t="n">
        <f aca="false">IF(C15="sqft",E15*Summary!$B$6,E15*Summary!$B$7)</f>
        <v>43.75</v>
      </c>
      <c r="G15" s="15" t="s">
        <v>84</v>
      </c>
      <c r="H15" s="16" t="n">
        <v>4E-005</v>
      </c>
      <c r="I15" s="17" t="n">
        <f aca="false">IF(H15="","",IF(C15="sqft",H15*Summary!$B$6,H15*Summary!$B$7))</f>
        <v>50</v>
      </c>
      <c r="J15" s="18" t="n">
        <f aca="false">IF(H15="","",(E15-H15)/H15)</f>
        <v>-0.125</v>
      </c>
      <c r="K15" s="19" t="s">
        <v>38</v>
      </c>
      <c r="L15" s="15" t="s">
        <v>85</v>
      </c>
      <c r="M15" s="1" t="s">
        <v>86</v>
      </c>
    </row>
    <row r="16" customFormat="false" ht="15" hidden="false" customHeight="true" outlineLevel="0" collapsed="false">
      <c r="A16" s="14" t="n">
        <v>15</v>
      </c>
      <c r="B16" s="15" t="s">
        <v>87</v>
      </c>
      <c r="C16" s="14" t="s">
        <v>35</v>
      </c>
      <c r="D16" s="15" t="s">
        <v>88</v>
      </c>
      <c r="E16" s="16" t="n">
        <v>0.17842</v>
      </c>
      <c r="F16" s="17" t="n">
        <f aca="false">IF(C16="sqft",E16*Summary!$B$6,E16*Summary!$B$7)</f>
        <v>321.156</v>
      </c>
      <c r="G16" s="15" t="s">
        <v>89</v>
      </c>
      <c r="H16" s="16" t="n">
        <v>0.17</v>
      </c>
      <c r="I16" s="17" t="n">
        <f aca="false">IF(H16="","",IF(C16="sqft",H16*Summary!$B$6,H16*Summary!$B$7))</f>
        <v>306</v>
      </c>
      <c r="J16" s="18" t="n">
        <f aca="false">IF(H16="","",(E16-H16)/H16)</f>
        <v>0.0495294117647058</v>
      </c>
      <c r="K16" s="19" t="s">
        <v>38</v>
      </c>
      <c r="L16" s="15" t="s">
        <v>90</v>
      </c>
      <c r="M16" s="1" t="s">
        <v>91</v>
      </c>
    </row>
    <row r="17" customFormat="false" ht="15" hidden="false" customHeight="true" outlineLevel="0" collapsed="false">
      <c r="A17" s="14" t="n">
        <v>16</v>
      </c>
      <c r="B17" s="15" t="s">
        <v>92</v>
      </c>
      <c r="C17" s="14" t="s">
        <v>47</v>
      </c>
      <c r="D17" s="15" t="s">
        <v>93</v>
      </c>
      <c r="E17" s="16" t="n">
        <v>4E-005</v>
      </c>
      <c r="F17" s="17" t="n">
        <f aca="false">IF(C17="sqft",E17*Summary!$B$6,E17*Summary!$B$7)</f>
        <v>50</v>
      </c>
      <c r="G17" s="15" t="s">
        <v>49</v>
      </c>
      <c r="H17" s="16"/>
      <c r="I17" s="17" t="str">
        <f aca="false">IF(H17="","",IF(C17="sqft",H17*Summary!$B$6,H17*Summary!$B$7))</f>
        <v/>
      </c>
      <c r="J17" s="18" t="str">
        <f aca="false">IF(H17="","",(E17-H17)/H17)</f>
        <v/>
      </c>
      <c r="K17" s="20" t="s">
        <v>38</v>
      </c>
      <c r="L17" s="15" t="s">
        <v>54</v>
      </c>
      <c r="M17" s="1" t="s">
        <v>94</v>
      </c>
    </row>
    <row r="20" customFormat="false" ht="15" hidden="false" customHeight="true" outlineLevel="0" collapsed="false">
      <c r="B20" s="5" t="s">
        <v>95</v>
      </c>
      <c r="F20" s="21" t="n">
        <f aca="false">SUMIF(C5:C17,"sqft",F5:F17)</f>
        <v>2001.006</v>
      </c>
    </row>
    <row r="21" customFormat="false" ht="15" hidden="false" customHeight="true" outlineLevel="0" collapsed="false">
      <c r="B21" s="5" t="s">
        <v>96</v>
      </c>
      <c r="F21" s="21" t="n">
        <f aca="false">SUMIF(C5:C17,"av",F5:F17)</f>
        <v>612.5</v>
      </c>
    </row>
    <row r="22" customFormat="false" ht="15" hidden="false" customHeight="true" outlineLevel="0" collapsed="false">
      <c r="B22" s="10" t="s">
        <v>11</v>
      </c>
      <c r="F22" s="22" t="n">
        <f aca="false">F20+F21</f>
        <v>2613.506</v>
      </c>
    </row>
    <row r="23" customFormat="false" ht="15" hidden="false" customHeight="true" outlineLevel="0" collapsed="false">
      <c r="B23" s="3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7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52"/>
  </cols>
  <sheetData>
    <row r="1" customFormat="false" ht="17.35" hidden="false" customHeight="false" outlineLevel="0" collapsed="false">
      <c r="A1" s="23" t="s">
        <v>98</v>
      </c>
    </row>
    <row r="2" customFormat="false" ht="42" hidden="false" customHeight="true" outlineLevel="0" collapsed="false">
      <c r="A2" s="24" t="s">
        <v>99</v>
      </c>
      <c r="B2" s="24"/>
      <c r="C2" s="24"/>
      <c r="D2" s="24"/>
      <c r="E2" s="24"/>
      <c r="F2" s="24"/>
      <c r="G2" s="24"/>
    </row>
    <row r="3" customFormat="false" ht="30" hidden="false" customHeight="true" outlineLevel="0" collapsed="false">
      <c r="A3" s="25" t="s">
        <v>100</v>
      </c>
      <c r="B3" s="25"/>
      <c r="C3" s="25"/>
      <c r="D3" s="25"/>
      <c r="E3" s="25"/>
      <c r="F3" s="25"/>
      <c r="G3" s="25"/>
    </row>
    <row r="5" customFormat="false" ht="15" hidden="false" customHeight="false" outlineLevel="0" collapsed="false">
      <c r="A5" s="26" t="s">
        <v>3</v>
      </c>
    </row>
    <row r="6" customFormat="false" ht="15" hidden="false" customHeight="false" outlineLevel="0" collapsed="false">
      <c r="A6" s="27" t="s">
        <v>4</v>
      </c>
      <c r="C6" s="28" t="n">
        <v>1800</v>
      </c>
    </row>
    <row r="7" customFormat="false" ht="15" hidden="false" customHeight="false" outlineLevel="0" collapsed="false">
      <c r="A7" s="27" t="s">
        <v>5</v>
      </c>
      <c r="C7" s="29" t="n">
        <v>1250000</v>
      </c>
    </row>
    <row r="9" customFormat="false" ht="15" hidden="false" customHeight="false" outlineLevel="0" collapsed="false">
      <c r="A9" s="30" t="s">
        <v>101</v>
      </c>
      <c r="B9" s="30" t="s">
        <v>23</v>
      </c>
      <c r="C9" s="30" t="s">
        <v>102</v>
      </c>
      <c r="D9" s="30" t="s">
        <v>25</v>
      </c>
      <c r="E9" s="30" t="s">
        <v>103</v>
      </c>
      <c r="F9" s="30" t="s">
        <v>104</v>
      </c>
      <c r="G9" s="30" t="s">
        <v>32</v>
      </c>
    </row>
    <row r="10" customFormat="false" ht="15" hidden="false" customHeight="false" outlineLevel="0" collapsed="false">
      <c r="A10" s="31" t="s">
        <v>105</v>
      </c>
      <c r="B10" s="32"/>
      <c r="C10" s="32"/>
      <c r="D10" s="32"/>
      <c r="E10" s="32"/>
      <c r="F10" s="32"/>
      <c r="G10" s="32"/>
    </row>
    <row r="11" customFormat="false" ht="15" hidden="false" customHeight="false" outlineLevel="0" collapsed="false">
      <c r="A11" s="27" t="s">
        <v>106</v>
      </c>
      <c r="B11" s="33" t="s">
        <v>35</v>
      </c>
      <c r="C11" s="27" t="s">
        <v>107</v>
      </c>
      <c r="D11" s="34" t="n">
        <v>0.06297</v>
      </c>
      <c r="E11" s="35" t="n">
        <f aca="false">D11*$C$6</f>
        <v>113.346</v>
      </c>
      <c r="F11" s="36" t="s">
        <v>108</v>
      </c>
      <c r="G11" s="37" t="s">
        <v>109</v>
      </c>
    </row>
    <row r="12" customFormat="false" ht="15" hidden="false" customHeight="false" outlineLevel="0" collapsed="false">
      <c r="A12" s="27" t="s">
        <v>41</v>
      </c>
      <c r="B12" s="33" t="s">
        <v>35</v>
      </c>
      <c r="C12" s="27" t="s">
        <v>110</v>
      </c>
      <c r="D12" s="34" t="n">
        <v>0.3128</v>
      </c>
      <c r="E12" s="35" t="n">
        <f aca="false">D12*$C$6</f>
        <v>563.04</v>
      </c>
      <c r="F12" s="36" t="s">
        <v>108</v>
      </c>
      <c r="G12" s="37" t="s">
        <v>111</v>
      </c>
    </row>
    <row r="13" customFormat="false" ht="15" hidden="false" customHeight="false" outlineLevel="0" collapsed="false">
      <c r="A13" s="27" t="s">
        <v>112</v>
      </c>
      <c r="B13" s="33" t="s">
        <v>35</v>
      </c>
      <c r="C13" s="27" t="s">
        <v>113</v>
      </c>
      <c r="D13" s="34" t="n">
        <v>0.02339</v>
      </c>
      <c r="E13" s="35" t="n">
        <f aca="false">D13*$C$6</f>
        <v>42.102</v>
      </c>
      <c r="F13" s="36" t="s">
        <v>108</v>
      </c>
      <c r="G13" s="37" t="s">
        <v>114</v>
      </c>
    </row>
    <row r="14" customFormat="false" ht="15" hidden="false" customHeight="false" outlineLevel="0" collapsed="false">
      <c r="A14" s="27" t="s">
        <v>115</v>
      </c>
      <c r="B14" s="33" t="s">
        <v>35</v>
      </c>
      <c r="C14" s="27" t="s">
        <v>116</v>
      </c>
      <c r="D14" s="34" t="n">
        <v>0.07026</v>
      </c>
      <c r="E14" s="35" t="n">
        <f aca="false">D14*$C$6</f>
        <v>126.468</v>
      </c>
      <c r="F14" s="36" t="s">
        <v>108</v>
      </c>
      <c r="G14" s="37" t="s">
        <v>117</v>
      </c>
    </row>
    <row r="15" customFormat="false" ht="15" hidden="false" customHeight="false" outlineLevel="0" collapsed="false">
      <c r="A15" s="27" t="s">
        <v>118</v>
      </c>
      <c r="B15" s="33" t="s">
        <v>35</v>
      </c>
      <c r="C15" s="27" t="s">
        <v>119</v>
      </c>
      <c r="D15" s="34" t="n">
        <v>0.13633</v>
      </c>
      <c r="E15" s="35" t="n">
        <f aca="false">D15*$C$6</f>
        <v>245.394</v>
      </c>
      <c r="F15" s="36" t="s">
        <v>108</v>
      </c>
      <c r="G15" s="37" t="s">
        <v>120</v>
      </c>
    </row>
    <row r="16" customFormat="false" ht="15" hidden="false" customHeight="false" outlineLevel="0" collapsed="false">
      <c r="A16" s="27" t="s">
        <v>121</v>
      </c>
      <c r="B16" s="33" t="s">
        <v>35</v>
      </c>
      <c r="C16" s="27" t="s">
        <v>122</v>
      </c>
      <c r="D16" s="34" t="n">
        <v>0.0492</v>
      </c>
      <c r="E16" s="35" t="n">
        <f aca="false">D16*$C$6</f>
        <v>88.56</v>
      </c>
      <c r="F16" s="36" t="s">
        <v>108</v>
      </c>
      <c r="G16" s="37" t="s">
        <v>123</v>
      </c>
    </row>
    <row r="17" customFormat="false" ht="15" hidden="false" customHeight="false" outlineLevel="0" collapsed="false">
      <c r="A17" s="27" t="s">
        <v>124</v>
      </c>
      <c r="B17" s="33" t="s">
        <v>35</v>
      </c>
      <c r="C17" s="27" t="s">
        <v>125</v>
      </c>
      <c r="D17" s="34" t="n">
        <v>0.2783</v>
      </c>
      <c r="E17" s="35" t="n">
        <f aca="false">D17*$C$6</f>
        <v>500.94</v>
      </c>
      <c r="F17" s="36" t="s">
        <v>108</v>
      </c>
      <c r="G17" s="37" t="s">
        <v>126</v>
      </c>
    </row>
    <row r="18" customFormat="false" ht="15" hidden="false" customHeight="false" outlineLevel="0" collapsed="false">
      <c r="A18" s="27" t="s">
        <v>127</v>
      </c>
      <c r="B18" s="33" t="s">
        <v>35</v>
      </c>
      <c r="C18" s="27" t="s">
        <v>128</v>
      </c>
      <c r="D18" s="34" t="n">
        <v>0.17842</v>
      </c>
      <c r="E18" s="35" t="n">
        <f aca="false">D18*$C$6</f>
        <v>321.156</v>
      </c>
      <c r="F18" s="36" t="s">
        <v>108</v>
      </c>
      <c r="G18" s="37" t="s">
        <v>129</v>
      </c>
    </row>
    <row r="19" customFormat="false" ht="15" hidden="false" customHeight="false" outlineLevel="0" collapsed="false">
      <c r="A19" s="27" t="s">
        <v>130</v>
      </c>
      <c r="B19" s="33" t="s">
        <v>47</v>
      </c>
      <c r="C19" s="27" t="s">
        <v>131</v>
      </c>
      <c r="D19" s="34" t="n">
        <v>7.5E-005</v>
      </c>
      <c r="E19" s="35" t="n">
        <f aca="false">D19*$C$7</f>
        <v>93.75</v>
      </c>
      <c r="F19" s="36" t="s">
        <v>108</v>
      </c>
      <c r="G19" s="37" t="s">
        <v>132</v>
      </c>
    </row>
    <row r="20" customFormat="false" ht="15" hidden="false" customHeight="false" outlineLevel="0" collapsed="false">
      <c r="A20" s="27" t="s">
        <v>52</v>
      </c>
      <c r="B20" s="33" t="s">
        <v>47</v>
      </c>
      <c r="C20" s="27" t="s">
        <v>133</v>
      </c>
      <c r="D20" s="34" t="n">
        <v>0.0002</v>
      </c>
      <c r="E20" s="35" t="n">
        <f aca="false">D20*$C$7</f>
        <v>250</v>
      </c>
      <c r="F20" s="36" t="s">
        <v>108</v>
      </c>
      <c r="G20" s="37" t="s">
        <v>134</v>
      </c>
    </row>
    <row r="21" customFormat="false" ht="15" hidden="false" customHeight="false" outlineLevel="0" collapsed="false">
      <c r="A21" s="27" t="s">
        <v>74</v>
      </c>
      <c r="B21" s="33" t="s">
        <v>47</v>
      </c>
      <c r="C21" s="27" t="s">
        <v>135</v>
      </c>
      <c r="D21" s="34" t="n">
        <v>0.00014</v>
      </c>
      <c r="E21" s="35" t="n">
        <f aca="false">D21*$C$7</f>
        <v>175</v>
      </c>
      <c r="F21" s="36" t="s">
        <v>108</v>
      </c>
      <c r="G21" s="37" t="s">
        <v>136</v>
      </c>
    </row>
    <row r="22" customFormat="false" ht="15" hidden="false" customHeight="false" outlineLevel="0" collapsed="false">
      <c r="A22" s="27" t="s">
        <v>82</v>
      </c>
      <c r="B22" s="33" t="s">
        <v>47</v>
      </c>
      <c r="C22" s="27" t="s">
        <v>137</v>
      </c>
      <c r="D22" s="34" t="n">
        <v>3.5E-005</v>
      </c>
      <c r="E22" s="35" t="n">
        <f aca="false">D22*$C$7</f>
        <v>43.75</v>
      </c>
      <c r="F22" s="36" t="s">
        <v>108</v>
      </c>
      <c r="G22" s="37" t="s">
        <v>138</v>
      </c>
    </row>
    <row r="23" customFormat="false" ht="15" hidden="false" customHeight="false" outlineLevel="0" collapsed="false">
      <c r="A23" s="27" t="s">
        <v>92</v>
      </c>
      <c r="B23" s="33" t="s">
        <v>47</v>
      </c>
      <c r="C23" s="27" t="s">
        <v>139</v>
      </c>
      <c r="D23" s="34" t="n">
        <v>4E-005</v>
      </c>
      <c r="E23" s="35" t="n">
        <f aca="false">D23*$C$7</f>
        <v>50</v>
      </c>
      <c r="F23" s="36" t="s">
        <v>108</v>
      </c>
      <c r="G23" s="37" t="s">
        <v>140</v>
      </c>
    </row>
    <row r="24" customFormat="false" ht="15" hidden="false" customHeight="false" outlineLevel="0" collapsed="false">
      <c r="A24" s="27" t="s">
        <v>141</v>
      </c>
      <c r="B24" s="33" t="s">
        <v>142</v>
      </c>
      <c r="C24" s="27" t="s">
        <v>49</v>
      </c>
      <c r="D24" s="35" t="n">
        <v>161.32</v>
      </c>
      <c r="E24" s="35" t="n">
        <f aca="false">D24</f>
        <v>161.32</v>
      </c>
      <c r="F24" s="36" t="s">
        <v>108</v>
      </c>
      <c r="G24" s="37" t="s">
        <v>143</v>
      </c>
    </row>
    <row r="25" customFormat="false" ht="15" hidden="false" customHeight="false" outlineLevel="0" collapsed="false">
      <c r="A25" s="38" t="s">
        <v>144</v>
      </c>
      <c r="B25" s="39"/>
      <c r="C25" s="39"/>
      <c r="D25" s="39"/>
      <c r="E25" s="40" t="n">
        <f aca="false">SUM(E11:E24)</f>
        <v>2774.826</v>
      </c>
      <c r="F25" s="39"/>
      <c r="G25" s="39"/>
    </row>
    <row r="26" customFormat="false" ht="15" hidden="false" customHeight="false" outlineLevel="0" collapsed="false">
      <c r="A26" s="31" t="s">
        <v>145</v>
      </c>
      <c r="B26" s="32"/>
      <c r="C26" s="32"/>
      <c r="D26" s="32"/>
      <c r="E26" s="32"/>
      <c r="F26" s="32"/>
      <c r="G26" s="32"/>
    </row>
    <row r="27" customFormat="false" ht="15" hidden="false" customHeight="false" outlineLevel="0" collapsed="false">
      <c r="A27" s="27" t="s">
        <v>146</v>
      </c>
      <c r="B27" s="33" t="s">
        <v>35</v>
      </c>
      <c r="C27" s="27" t="s">
        <v>147</v>
      </c>
      <c r="D27" s="34" t="n">
        <v>0.54</v>
      </c>
      <c r="E27" s="35" t="n">
        <f aca="false">D27*$C$6</f>
        <v>972</v>
      </c>
      <c r="F27" s="36" t="s">
        <v>108</v>
      </c>
      <c r="G27" s="37" t="s">
        <v>148</v>
      </c>
    </row>
    <row r="28" customFormat="false" ht="15" hidden="false" customHeight="false" outlineLevel="0" collapsed="false">
      <c r="A28" s="27" t="s">
        <v>149</v>
      </c>
      <c r="B28" s="33" t="s">
        <v>35</v>
      </c>
      <c r="C28" s="27" t="s">
        <v>150</v>
      </c>
      <c r="D28" s="34" t="n">
        <v>0.1451</v>
      </c>
      <c r="E28" s="35" t="n">
        <f aca="false">D28*$C$6</f>
        <v>261.18</v>
      </c>
      <c r="F28" s="41" t="s">
        <v>151</v>
      </c>
      <c r="G28" s="37" t="s">
        <v>152</v>
      </c>
    </row>
    <row r="29" customFormat="false" ht="15" hidden="false" customHeight="false" outlineLevel="0" collapsed="false">
      <c r="A29" s="27" t="s">
        <v>153</v>
      </c>
      <c r="B29" s="33" t="s">
        <v>35</v>
      </c>
      <c r="C29" s="27" t="s">
        <v>154</v>
      </c>
      <c r="D29" s="34" t="n">
        <v>0.1065</v>
      </c>
      <c r="E29" s="35" t="n">
        <f aca="false">D29*$C$6</f>
        <v>191.7</v>
      </c>
      <c r="F29" s="41" t="s">
        <v>151</v>
      </c>
      <c r="G29" s="37" t="s">
        <v>152</v>
      </c>
    </row>
    <row r="30" customFormat="false" ht="15" hidden="false" customHeight="false" outlineLevel="0" collapsed="false">
      <c r="A30" s="27" t="s">
        <v>155</v>
      </c>
      <c r="B30" s="33" t="s">
        <v>47</v>
      </c>
      <c r="C30" s="27" t="s">
        <v>156</v>
      </c>
      <c r="D30" s="34" t="n">
        <v>0.001154</v>
      </c>
      <c r="E30" s="35" t="n">
        <f aca="false">D30*$C$7</f>
        <v>1442.5</v>
      </c>
      <c r="F30" s="36" t="s">
        <v>108</v>
      </c>
      <c r="G30" s="37" t="s">
        <v>157</v>
      </c>
    </row>
    <row r="31" customFormat="false" ht="15" hidden="false" customHeight="false" outlineLevel="0" collapsed="false">
      <c r="A31" s="38" t="s">
        <v>158</v>
      </c>
      <c r="B31" s="39"/>
      <c r="C31" s="39"/>
      <c r="D31" s="39"/>
      <c r="E31" s="40" t="n">
        <f aca="false">SUM(E27:E30)</f>
        <v>2867.38</v>
      </c>
      <c r="F31" s="39"/>
      <c r="G31" s="39"/>
    </row>
    <row r="32" customFormat="false" ht="15" hidden="false" customHeight="false" outlineLevel="0" collapsed="false">
      <c r="A32" s="31" t="s">
        <v>159</v>
      </c>
      <c r="B32" s="32"/>
      <c r="C32" s="32"/>
      <c r="D32" s="32"/>
      <c r="E32" s="32"/>
      <c r="F32" s="32"/>
      <c r="G32" s="32"/>
    </row>
    <row r="33" customFormat="false" ht="15" hidden="false" customHeight="false" outlineLevel="0" collapsed="false">
      <c r="A33" s="27" t="s">
        <v>160</v>
      </c>
      <c r="B33" s="33" t="s">
        <v>47</v>
      </c>
      <c r="C33" s="27" t="s">
        <v>161</v>
      </c>
      <c r="D33" s="34" t="n">
        <v>0.01</v>
      </c>
      <c r="E33" s="35" t="n">
        <f aca="false">D33*$C$7</f>
        <v>12500</v>
      </c>
      <c r="F33" s="36" t="s">
        <v>108</v>
      </c>
      <c r="G33" s="37" t="s">
        <v>162</v>
      </c>
    </row>
    <row r="34" customFormat="false" ht="15" hidden="false" customHeight="false" outlineLevel="0" collapsed="false">
      <c r="A34" s="27" t="s">
        <v>163</v>
      </c>
      <c r="B34" s="33" t="s">
        <v>47</v>
      </c>
      <c r="C34" s="27" t="s">
        <v>164</v>
      </c>
      <c r="D34" s="34" t="n">
        <v>8.4E-005</v>
      </c>
      <c r="E34" s="35" t="n">
        <f aca="false">D34*$C$7</f>
        <v>105</v>
      </c>
      <c r="F34" s="36" t="s">
        <v>108</v>
      </c>
      <c r="G34" s="37" t="s">
        <v>165</v>
      </c>
    </row>
    <row r="35" customFormat="false" ht="15" hidden="false" customHeight="false" outlineLevel="0" collapsed="false">
      <c r="A35" s="27" t="s">
        <v>166</v>
      </c>
      <c r="B35" s="33" t="s">
        <v>47</v>
      </c>
      <c r="C35" s="27" t="s">
        <v>167</v>
      </c>
      <c r="D35" s="34" t="n">
        <v>0.000432</v>
      </c>
      <c r="E35" s="35" t="n">
        <f aca="false">D35*$C$7</f>
        <v>540</v>
      </c>
      <c r="F35" s="36" t="s">
        <v>108</v>
      </c>
      <c r="G35" s="37" t="s">
        <v>165</v>
      </c>
    </row>
    <row r="36" customFormat="false" ht="15" hidden="false" customHeight="false" outlineLevel="0" collapsed="false">
      <c r="A36" s="27" t="s">
        <v>168</v>
      </c>
      <c r="B36" s="33" t="s">
        <v>47</v>
      </c>
      <c r="C36" s="27" t="s">
        <v>169</v>
      </c>
      <c r="D36" s="34" t="n">
        <v>0.000152</v>
      </c>
      <c r="E36" s="35" t="n">
        <f aca="false">D36*$C$7</f>
        <v>190</v>
      </c>
      <c r="F36" s="36" t="s">
        <v>108</v>
      </c>
      <c r="G36" s="37" t="s">
        <v>165</v>
      </c>
    </row>
    <row r="37" customFormat="false" ht="15" hidden="false" customHeight="false" outlineLevel="0" collapsed="false">
      <c r="A37" s="27" t="s">
        <v>170</v>
      </c>
      <c r="B37" s="33" t="s">
        <v>47</v>
      </c>
      <c r="C37" s="27" t="s">
        <v>171</v>
      </c>
      <c r="D37" s="34" t="n">
        <v>1.1E-005</v>
      </c>
      <c r="E37" s="35" t="n">
        <f aca="false">D37*$C$7</f>
        <v>13.75</v>
      </c>
      <c r="F37" s="36" t="s">
        <v>108</v>
      </c>
      <c r="G37" s="37" t="s">
        <v>165</v>
      </c>
    </row>
    <row r="38" customFormat="false" ht="15" hidden="false" customHeight="false" outlineLevel="0" collapsed="false">
      <c r="A38" s="27" t="s">
        <v>172</v>
      </c>
      <c r="B38" s="33" t="s">
        <v>142</v>
      </c>
      <c r="C38" s="27" t="s">
        <v>49</v>
      </c>
      <c r="D38" s="35" t="n">
        <v>358.26</v>
      </c>
      <c r="E38" s="35" t="n">
        <f aca="false">D38</f>
        <v>358.26</v>
      </c>
      <c r="F38" s="36" t="s">
        <v>108</v>
      </c>
      <c r="G38" s="37" t="s">
        <v>143</v>
      </c>
    </row>
    <row r="39" customFormat="false" ht="15" hidden="false" customHeight="false" outlineLevel="0" collapsed="false">
      <c r="A39" s="38" t="s">
        <v>173</v>
      </c>
      <c r="B39" s="39"/>
      <c r="C39" s="39"/>
      <c r="D39" s="39"/>
      <c r="E39" s="40" t="n">
        <f aca="false">SUM(E33:E38)</f>
        <v>13707.01</v>
      </c>
      <c r="F39" s="39"/>
      <c r="G39" s="39"/>
    </row>
    <row r="40" customFormat="false" ht="15" hidden="false" customHeight="false" outlineLevel="0" collapsed="false">
      <c r="A40" s="42" t="s">
        <v>174</v>
      </c>
      <c r="B40" s="43"/>
      <c r="C40" s="43"/>
      <c r="D40" s="43"/>
      <c r="E40" s="44" t="n">
        <f aca="false">E25+E31+E39</f>
        <v>19349.216</v>
      </c>
      <c r="F40" s="43"/>
      <c r="G40" s="43"/>
    </row>
    <row r="42" customFormat="false" ht="30" hidden="false" customHeight="true" outlineLevel="0" collapsed="false">
      <c r="A42" s="24" t="s">
        <v>175</v>
      </c>
      <c r="B42" s="24"/>
      <c r="C42" s="24"/>
      <c r="D42" s="24"/>
      <c r="E42" s="24"/>
      <c r="F42" s="24"/>
      <c r="G42" s="24"/>
    </row>
    <row r="43" customFormat="false" ht="30" hidden="false" customHeight="true" outlineLevel="0" collapsed="false">
      <c r="A43" s="24" t="s">
        <v>176</v>
      </c>
      <c r="B43" s="24"/>
      <c r="C43" s="24"/>
      <c r="D43" s="24"/>
      <c r="E43" s="24"/>
      <c r="F43" s="24"/>
      <c r="G43" s="24"/>
    </row>
    <row r="44" customFormat="false" ht="30" hidden="false" customHeight="true" outlineLevel="0" collapsed="false">
      <c r="A44" s="24" t="s">
        <v>177</v>
      </c>
      <c r="B44" s="24"/>
      <c r="C44" s="24"/>
      <c r="D44" s="24"/>
      <c r="E44" s="24"/>
      <c r="F44" s="24"/>
      <c r="G44" s="24"/>
    </row>
    <row r="45" customFormat="false" ht="30" hidden="false" customHeight="true" outlineLevel="0" collapsed="false">
      <c r="A45" s="24" t="s">
        <v>178</v>
      </c>
      <c r="B45" s="24"/>
      <c r="C45" s="24"/>
      <c r="D45" s="24"/>
      <c r="E45" s="24"/>
      <c r="F45" s="24"/>
      <c r="G45" s="24"/>
    </row>
  </sheetData>
  <mergeCells count="6">
    <mergeCell ref="A2:G2"/>
    <mergeCell ref="A3:G3"/>
    <mergeCell ref="A42:G42"/>
    <mergeCell ref="A43:G43"/>
    <mergeCell ref="A44:G44"/>
    <mergeCell ref="A45:G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2026-06-16T00:24:03Z</dcterms:created>
  <dc:creator>openpyxl</dc:creator>
  <dc:description/>
  <dc:language>en-US</dc:language>
  <cp:lastModifiedBy/>
  <dcterms:modified xsi:type="dcterms:W3CDTF">2026-06-23T00:38:13Z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