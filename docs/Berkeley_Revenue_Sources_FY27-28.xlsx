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 Fund Revenue" sheetId="1" state="visible" r:id="rId3"/>
    <sheet name="Non-GF Revenue 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<sst xmlns="http://schemas.openxmlformats.org/spreadsheetml/2006/main" count="227" uniqueCount="181">
  <si>
    <t xml:space="preserve">City of Berkeley — General Fund Revenue by Source</t>
  </si>
  <si>
    <t xml:space="preserve">Official projections. FY2025 = actual; FY2026 = revised mid-year projection; FY2027/FY2028 = projection. Source: FY2026 Mid-Year General Fund Revenue Update, Budget &amp; Finance Policy Committee, 2/26/2026. NOTE: baseline projection — excludes the ~$5.1M (FY27)/$8.3M (FY28) of additional revenue actions in the balancing plan and the proposed Nov-2026 0.5% sales tax (~$9M/yr if it passes).</t>
  </si>
  <si>
    <t xml:space="preserve">Revenue Source</t>
  </si>
  <si>
    <t xml:space="preserve">FY2025 Actual</t>
  </si>
  <si>
    <t xml:space="preserve">FY2026 Projected</t>
  </si>
  <si>
    <t xml:space="preserve">FY2027 Proj.</t>
  </si>
  <si>
    <t xml:space="preserve">FY2028 Proj.</t>
  </si>
  <si>
    <t xml:space="preserve">Basis</t>
  </si>
  <si>
    <t xml:space="preserve">Why</t>
  </si>
  <si>
    <t xml:space="preserve">PROPERTY &amp; PROPERTY-BASED TAXES</t>
  </si>
  <si>
    <t xml:space="preserve">Secured Property Taxes</t>
  </si>
  <si>
    <t xml:space="preserve">Stuff</t>
  </si>
  <si>
    <t xml:space="preserve">Tax on assessed value of real property (a held asset). Prop 13 caps it to acquisition cost +2%/yr.</t>
  </si>
  <si>
    <t xml:space="preserve">Supplemental Taxes</t>
  </si>
  <si>
    <t xml:space="preserve">Action</t>
  </si>
  <si>
    <t xml:space="preserve">Property tax, but only triggered by a sale or new construction — the Prop 13 reassessment event.</t>
  </si>
  <si>
    <t xml:space="preserve">Unsecured Property Taxes</t>
  </si>
  <si>
    <t xml:space="preserve">Property Transfer Tax (base)</t>
  </si>
  <si>
    <t xml:space="preserve">Tax on the act of selling property (a transaction).</t>
  </si>
  <si>
    <t xml:space="preserve">Property Transfer Tax — Measure P (homeless)</t>
  </si>
  <si>
    <t xml:space="preserve">Transfer tax — triggered by the sale transaction.</t>
  </si>
  <si>
    <t xml:space="preserve">Property Transfer Tax — Measure W</t>
  </si>
  <si>
    <t xml:space="preserve">Vehicle In-Lieu Taxes (VLF in-lieu)</t>
  </si>
  <si>
    <t xml:space="preserve">Began as a tax on vehicle value; now a property-value-indexed backfill — asset-based.</t>
  </si>
  <si>
    <t xml:space="preserve">  Subtotal — Property &amp; Property-Based Taxes</t>
  </si>
  <si>
    <t xml:space="preserve">OTHER TAXES</t>
  </si>
  <si>
    <t xml:space="preserve">Sales &amp; Use Taxes</t>
  </si>
  <si>
    <t xml:space="preserve">Tax on the act of consumption (retail transactions).</t>
  </si>
  <si>
    <t xml:space="preserve">Soda / Sugar-Sweetened Beverage Tax</t>
  </si>
  <si>
    <t xml:space="preserve">Tax on purchase/consumption of sugary drinks — Pigouvian behavior tax.</t>
  </si>
  <si>
    <t xml:space="preserve">Utility Users Tax</t>
  </si>
  <si>
    <t xml:space="preserve">Tax on consumption of utilities (usage-based).</t>
  </si>
  <si>
    <t xml:space="preserve">Transient Occupancy Tax (Hotel/TOT)</t>
  </si>
  <si>
    <t xml:space="preserve">Tax on the act of renting a hotel room.</t>
  </si>
  <si>
    <t xml:space="preserve">  less: TOT Rebates</t>
  </si>
  <si>
    <t xml:space="preserve">Rebate against TOT (transaction-based).</t>
  </si>
  <si>
    <t xml:space="preserve">Short-Term Rental Tax</t>
  </si>
  <si>
    <t xml:space="preserve">Tax on the act of short-term renting.</t>
  </si>
  <si>
    <t xml:space="preserve">Business License Taxes</t>
  </si>
  <si>
    <t xml:space="preserve">Tax on gross receipts — i.e., economic activity.</t>
  </si>
  <si>
    <t xml:space="preserve">Recreational Cannabis Tax</t>
  </si>
  <si>
    <t xml:space="preserve">Tax on purchase of cannabis.</t>
  </si>
  <si>
    <t xml:space="preserve">Measure U1 (large-landlord gross receipts)</t>
  </si>
  <si>
    <t xml:space="preserve">Gross-receipts tax on large-landlord rental activity (a flow).</t>
  </si>
  <si>
    <t xml:space="preserve">Residential Vacancy Tax (Measure M 2022)</t>
  </si>
  <si>
    <t xml:space="preserve">Hybrid</t>
  </si>
  <si>
    <t xml:space="preserve">Levied on the asset (empty unit) but engineered to change behavior — Pigouvian tax on a holding.</t>
  </si>
  <si>
    <t xml:space="preserve">Other Taxes (incl. redemptions)</t>
  </si>
  <si>
    <t xml:space="preserve">Mostly property-tax redemptions (delinquent property tax) — asset-related; some one-time items.</t>
  </si>
  <si>
    <t xml:space="preserve">  Subtotal — Other Taxes</t>
  </si>
  <si>
    <t xml:space="preserve">FEES, FINES &amp; CHARGES</t>
  </si>
  <si>
    <t xml:space="preserve">Parking Fines — regular collections</t>
  </si>
  <si>
    <t xml:space="preserve">Fine on behavior (parking violations).</t>
  </si>
  <si>
    <t xml:space="preserve">Moving Violations</t>
  </si>
  <si>
    <t xml:space="preserve">Fine on behavior (traffic).</t>
  </si>
  <si>
    <t xml:space="preserve">Ambulance Fees</t>
  </si>
  <si>
    <t xml:space="preserve">Charge for use of a service.</t>
  </si>
  <si>
    <t xml:space="preserve">Franchise Fees</t>
  </si>
  <si>
    <t xml:space="preserve">Charge tied to utility activity in the public right-of-way.</t>
  </si>
  <si>
    <t xml:space="preserve">  Subtotal — Fees, Fines &amp; Charges</t>
  </si>
  <si>
    <t xml:space="preserve">OTHER REVENUE &amp; TRANSFERS</t>
  </si>
  <si>
    <t xml:space="preserve">Interest Income</t>
  </si>
  <si>
    <t xml:space="preserve">Non-tax</t>
  </si>
  <si>
    <t xml:space="preserve">Investment return on the City’s own financial assets — not a tax.</t>
  </si>
  <si>
    <t xml:space="preserve">Other Revenues</t>
  </si>
  <si>
    <t xml:space="preserve">Miscellaneous non-tax revenue.</t>
  </si>
  <si>
    <t xml:space="preserve">Indirect Cost Reimbursements</t>
  </si>
  <si>
    <t xml:space="preserve">Internal reimbursement between funds — not a tax.</t>
  </si>
  <si>
    <t xml:space="preserve">Transfers In</t>
  </si>
  <si>
    <t xml:space="preserve">Inter-fund transfer — not a tax.</t>
  </si>
  <si>
    <t xml:space="preserve">  Subtotal — Other Revenue &amp; Transfers</t>
  </si>
  <si>
    <t xml:space="preserve">TOTAL UNDESIGNATED GF REVENUE</t>
  </si>
  <si>
    <t xml:space="preserve">DESIGNATED REVENUE</t>
  </si>
  <si>
    <t xml:space="preserve">Property Transfer Tax — dedicated to capital improvements</t>
  </si>
  <si>
    <t xml:space="preserve">Transfer tax (sale transaction), earmarked for capital.</t>
  </si>
  <si>
    <t xml:space="preserve">TOTAL GENERAL FUND REVENUE &amp; TRANSFERS</t>
  </si>
  <si>
    <t xml:space="preserve">STOCK vs. FLOW SUMMARY (tax &amp; fee lines only; SUMIF on Basis column)</t>
  </si>
  <si>
    <t xml:space="preserve">FY2027</t>
  </si>
  <si>
    <t xml:space="preserve">FY2028</t>
  </si>
  <si>
    <t xml:space="preserve">FY27 % of taxed</t>
  </si>
  <si>
    <t xml:space="preserve">Total taxed (excl. non-tax)</t>
  </si>
  <si>
    <t xml:space="preserve">Stuff = tax on held assets/existing value. Action = tax on transactions, consumption, behavior. Hybrid = vacancy tax (on an asset, but to change behavior). Non-tax (interest, transfers, reimbursements) shown but excluded from the % split. GF only; the dedicated parcel &amp; ad valorem bond taxes (other sheet) are ~100% Stuff and tip the citywide base toward ~2/3 assets.</t>
  </si>
  <si>
    <t xml:space="preserve">City of Berkeley — Revenue Sources Outside the General Fund</t>
  </si>
  <si>
    <t xml:space="preserve">All-funds budget: $905.2M (FY27) / $865.3M (FY28). General Fund (~$302–311M) is the discretionary core above; the rest is restricted/dedicated revenue listed here. Parcel-tax rates are FY2027 adopted (Ord. 8,013–8,026, 6/30/26).</t>
  </si>
  <si>
    <t xml:space="preserve">Category / Source</t>
  </si>
  <si>
    <t xml:space="preserve">Type / Basis</t>
  </si>
  <si>
    <t xml:space="preserve">FY2027 rate or note</t>
  </si>
  <si>
    <t xml:space="preserve">Restricted use</t>
  </si>
  <si>
    <t xml:space="preserve">SPECIAL PARCEL TAXES (dedicated)</t>
  </si>
  <si>
    <t xml:space="preserve">Library Services Tax (1980 Act)</t>
  </si>
  <si>
    <t xml:space="preserve">Per-sq-ft parcel</t>
  </si>
  <si>
    <t xml:space="preserve">31.28¢/sf dwell · 47.29¢ comm</t>
  </si>
  <si>
    <t xml:space="preserve">Library operations</t>
  </si>
  <si>
    <t xml:space="preserve">Library Relief Act (Measure X 2024)</t>
  </si>
  <si>
    <t xml:space="preserve">6.297¢/sf dwell · 9.446¢ comm</t>
  </si>
  <si>
    <t xml:space="preserve">Parks/Trees/Landscaping (Measures F &amp; Y)</t>
  </si>
  <si>
    <t xml:space="preserve">27.83¢/sf</t>
  </si>
  <si>
    <t xml:space="preserve">Parks maintenance</t>
  </si>
  <si>
    <t xml:space="preserve">Fire Protection &amp; Prep (Measure GG)</t>
  </si>
  <si>
    <t xml:space="preserve">7.026¢/sf dwell · 10.634¢ other</t>
  </si>
  <si>
    <t xml:space="preserve">Fire/emergency prep</t>
  </si>
  <si>
    <t xml:space="preserve">Firefighting/EMS/Wildfire (Measure FF 2020)</t>
  </si>
  <si>
    <t xml:space="preserve">13.633¢/sf</t>
  </si>
  <si>
    <t xml:space="preserve">Fire/EMS/wildfire</t>
  </si>
  <si>
    <t xml:space="preserve">Paramedic / EMS Tax</t>
  </si>
  <si>
    <t xml:space="preserve">4.92¢/sf</t>
  </si>
  <si>
    <t xml:space="preserve">Emergency medical svcs</t>
  </si>
  <si>
    <t xml:space="preserve">Emergency Svcs for Disabled (Measure E)</t>
  </si>
  <si>
    <t xml:space="preserve">2.339¢/sf</t>
  </si>
  <si>
    <t xml:space="preserve">Disabled emergency svcs</t>
  </si>
  <si>
    <t xml:space="preserve">Safe Streets (Measure FF 2024)</t>
  </si>
  <si>
    <t xml:space="preserve">17.842¢/sf dwell · 26.238¢ comm</t>
  </si>
  <si>
    <t xml:space="preserve">Streets/sidewalks/safety</t>
  </si>
  <si>
    <t xml:space="preserve">Business License Tax — large non-profits</t>
  </si>
  <si>
    <t xml:space="preserve">Per-sq-ft improvements</t>
  </si>
  <si>
    <t xml:space="preserve">91.68¢/sf (new FY27, Ord 8,015)</t>
  </si>
  <si>
    <t xml:space="preserve">General (new)</t>
  </si>
  <si>
    <t xml:space="preserve">GO BOND DEBT-SERVICE LEVIES (ad valorem)</t>
  </si>
  <si>
    <t xml:space="preserve">2015 Refunding Bonds (Measures G/S/I)</t>
  </si>
  <si>
    <t xml:space="preserve">% of assessed value</t>
  </si>
  <si>
    <t xml:space="preserve">0.0075% AV</t>
  </si>
  <si>
    <t xml:space="preserve">Bond debt service</t>
  </si>
  <si>
    <t xml:space="preserve">Affordable Housing Bonds (Measure O 2018)</t>
  </si>
  <si>
    <t xml:space="preserve">0.0200% AV</t>
  </si>
  <si>
    <t xml:space="preserve">Housing bond debt svc</t>
  </si>
  <si>
    <t xml:space="preserve">Infrastructure Bonds (Measure T1 2016)</t>
  </si>
  <si>
    <t xml:space="preserve">0.0140% AV</t>
  </si>
  <si>
    <t xml:space="preserve">Infrastructure bond debt</t>
  </si>
  <si>
    <t xml:space="preserve">2008 Branch Library Bonds (Measure FF)</t>
  </si>
  <si>
    <t xml:space="preserve">0.0035% AV</t>
  </si>
  <si>
    <t xml:space="preserve">Library bond debt svc</t>
  </si>
  <si>
    <t xml:space="preserve">Street &amp; Watershed Bonds (Measure M 2012)</t>
  </si>
  <si>
    <t xml:space="preserve">0.0040% AV</t>
  </si>
  <si>
    <t xml:space="preserve">Streets bond debt svc</t>
  </si>
  <si>
    <t xml:space="preserve">ENTERPRISE / SERVICE FUND FEES</t>
  </si>
  <si>
    <t xml:space="preserve">Refuse / Zero Waste fees</t>
  </si>
  <si>
    <t xml:space="preserve">User fee</t>
  </si>
  <si>
    <t xml:space="preserve">Set by rate schedule</t>
  </si>
  <si>
    <t xml:space="preserve">Solid waste collection</t>
  </si>
  <si>
    <t xml:space="preserve">Sanitary Sewer fees</t>
  </si>
  <si>
    <t xml:space="preserve">Sewer system O&amp;M</t>
  </si>
  <si>
    <t xml:space="preserve">Clean Storm Water fee</t>
  </si>
  <si>
    <t xml:space="preserve">Parcel-based fee</t>
  </si>
  <si>
    <t xml:space="preserve">On secured tax roll</t>
  </si>
  <si>
    <t xml:space="preserve">Stormwater</t>
  </si>
  <si>
    <t xml:space="preserve">Marina / Waterfront berth &amp; rents</t>
  </si>
  <si>
    <t xml:space="preserve">User fee / lease</t>
  </si>
  <si>
    <t xml:space="preserve">Marina fund</t>
  </si>
  <si>
    <t xml:space="preserve">Waterfront operations</t>
  </si>
  <si>
    <t xml:space="preserve">Off-Street &amp; Meter Parking</t>
  </si>
  <si>
    <t xml:space="preserve">Fees / meters</t>
  </si>
  <si>
    <t xml:space="preserve">Parking fund</t>
  </si>
  <si>
    <t xml:space="preserve">Parking system</t>
  </si>
  <si>
    <t xml:space="preserve">Permit Service Center (building permits)</t>
  </si>
  <si>
    <t xml:space="preserve">Cost-recovery fees</t>
  </si>
  <si>
    <t xml:space="preserve">Planning fund</t>
  </si>
  <si>
    <t xml:space="preserve">Development review</t>
  </si>
  <si>
    <t xml:space="preserve">GRANTS &amp; INTERGOVERNMENTAL</t>
  </si>
  <si>
    <t xml:space="preserve">Federal &amp; State grants (HHCS housing/homeless)</t>
  </si>
  <si>
    <t xml:space="preserve">Grant pass-through</t>
  </si>
  <si>
    <t xml:space="preserve">Drives large HHCS all-funds total</t>
  </si>
  <si>
    <t xml:space="preserve">Program-restricted</t>
  </si>
  <si>
    <t xml:space="preserve">CDBG / HOME / ESG</t>
  </si>
  <si>
    <t xml:space="preserve">Federal grant</t>
  </si>
  <si>
    <t xml:space="preserve">HUD formula</t>
  </si>
  <si>
    <t xml:space="preserve">Housing/community dev</t>
  </si>
  <si>
    <t xml:space="preserve">Gas Tax / HUTA + SB1 Road Maint.</t>
  </si>
  <si>
    <t xml:space="preserve">State per-capita/formula</t>
  </si>
  <si>
    <t xml:space="preserve">Transportation fund</t>
  </si>
  <si>
    <t xml:space="preserve">Streets/roads</t>
  </si>
  <si>
    <t xml:space="preserve">Vehicle Registration fees (transportation)</t>
  </si>
  <si>
    <t xml:space="preserve">State allocation</t>
  </si>
  <si>
    <t xml:space="preserve">Streets/transport</t>
  </si>
  <si>
    <t xml:space="preserve">OTHER DEDICATED</t>
  </si>
  <si>
    <t xml:space="preserve">Rent Board registration fees</t>
  </si>
  <si>
    <t xml:space="preserve">Per-unit fee</t>
  </si>
  <si>
    <t xml:space="preserve">Funds Rent Board (~$9.6M)</t>
  </si>
  <si>
    <t xml:space="preserve">Rent stabilization</t>
  </si>
  <si>
    <t xml:space="preserve">Measure U1 (housing trust portion)</t>
  </si>
  <si>
    <t xml:space="preserve">Gross-receipts tax</t>
  </si>
  <si>
    <t xml:space="preserve">Affordable housing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</si>
</sst>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\$#,##0;&quot;($&quot;#,##0\);\-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DDEBF7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7"/>
    <col collapsed="false" customWidth="true" hidden="false" outlineLevel="0" max="6" min="6" style="0" width="11"/>
    <col collapsed="false" customWidth="true" hidden="false" outlineLevel="0" max="7" min="7" style="0" width="66"/>
  </cols>
  <sheetData>
    <row r="1" customFormat="false" ht="17.25" hidden="false" customHeight="true" outlineLevel="0" collapsed="false">
      <c r="A1" s="2" t="s">
        <v>0</v>
      </c>
    </row>
    <row r="2" customFormat="false" ht="57.7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4" t="s">
        <v>8</v>
      </c>
    </row>
    <row r="5" customFormat="false" ht="15" hidden="false" customHeight="true" outlineLevel="0" collapsed="false">
      <c r="A5" s="6" t="s">
        <v>9</v>
      </c>
      <c r="B5" s="7"/>
      <c r="C5" s="7"/>
      <c r="D5" s="7"/>
      <c r="E5" s="7"/>
      <c r="F5" s="8"/>
      <c r="G5" s="8"/>
    </row>
    <row r="6" customFormat="false" ht="15" hidden="false" customHeight="true" outlineLevel="0" collapsed="false">
      <c r="A6" s="9" t="s">
        <v>10</v>
      </c>
      <c r="B6" s="10" t="n">
        <v>89041388</v>
      </c>
      <c r="C6" s="10" t="n">
        <v>92798935</v>
      </c>
      <c r="D6" s="10" t="n">
        <v>98784093</v>
      </c>
      <c r="E6" s="10" t="n">
        <v>103454324</v>
      </c>
      <c r="F6" s="11" t="s">
        <v>11</v>
      </c>
      <c r="G6" s="12" t="s">
        <v>12</v>
      </c>
    </row>
    <row r="7" customFormat="false" ht="15" hidden="false" customHeight="true" outlineLevel="0" collapsed="false">
      <c r="A7" s="9" t="s">
        <v>13</v>
      </c>
      <c r="B7" s="10" t="n">
        <v>2035343</v>
      </c>
      <c r="C7" s="10" t="n">
        <v>2000000</v>
      </c>
      <c r="D7" s="10" t="n">
        <v>2500000</v>
      </c>
      <c r="E7" s="10" t="n">
        <v>2000000</v>
      </c>
      <c r="F7" s="13" t="s">
        <v>14</v>
      </c>
      <c r="G7" s="12" t="s">
        <v>15</v>
      </c>
    </row>
    <row r="8" customFormat="false" ht="15" hidden="false" customHeight="true" outlineLevel="0" collapsed="false">
      <c r="A8" s="9" t="s">
        <v>16</v>
      </c>
      <c r="B8" s="10" t="n">
        <v>4798998</v>
      </c>
      <c r="C8" s="10" t="n">
        <v>5100000</v>
      </c>
      <c r="D8" s="10" t="n">
        <v>5100000</v>
      </c>
      <c r="E8" s="10" t="n">
        <v>5100000</v>
      </c>
      <c r="F8" s="11" t="s">
        <v>11</v>
      </c>
      <c r="G8" s="12" t="s">
        <v>12</v>
      </c>
    </row>
    <row r="9" customFormat="false" ht="15" hidden="false" customHeight="true" outlineLevel="0" collapsed="false">
      <c r="A9" s="9" t="s">
        <v>17</v>
      </c>
      <c r="B9" s="10" t="n">
        <v>16000000</v>
      </c>
      <c r="C9" s="10" t="n">
        <v>16000000</v>
      </c>
      <c r="D9" s="10" t="n">
        <v>16000000</v>
      </c>
      <c r="E9" s="10" t="n">
        <v>16000000</v>
      </c>
      <c r="F9" s="13" t="s">
        <v>14</v>
      </c>
      <c r="G9" s="12" t="s">
        <v>18</v>
      </c>
    </row>
    <row r="10" customFormat="false" ht="15" hidden="false" customHeight="true" outlineLevel="0" collapsed="false">
      <c r="A10" s="9" t="s">
        <v>19</v>
      </c>
      <c r="B10" s="10" t="n">
        <v>10129772</v>
      </c>
      <c r="C10" s="10" t="n">
        <v>11100000</v>
      </c>
      <c r="D10" s="10" t="n">
        <v>11655000</v>
      </c>
      <c r="E10" s="10" t="n">
        <v>12237750</v>
      </c>
      <c r="F10" s="13" t="s">
        <v>14</v>
      </c>
      <c r="G10" s="12" t="s">
        <v>20</v>
      </c>
    </row>
    <row r="11" customFormat="false" ht="15" hidden="false" customHeight="true" outlineLevel="0" collapsed="false">
      <c r="A11" s="9" t="s">
        <v>21</v>
      </c>
      <c r="B11" s="10"/>
      <c r="C11" s="10" t="n">
        <v>1500000</v>
      </c>
      <c r="D11" s="10" t="n">
        <v>1500000</v>
      </c>
      <c r="E11" s="10" t="n">
        <v>3000000</v>
      </c>
      <c r="F11" s="13" t="s">
        <v>14</v>
      </c>
      <c r="G11" s="12" t="s">
        <v>20</v>
      </c>
    </row>
    <row r="12" customFormat="false" ht="15" hidden="false" customHeight="true" outlineLevel="0" collapsed="false">
      <c r="A12" s="9" t="s">
        <v>22</v>
      </c>
      <c r="B12" s="10" t="n">
        <v>19001998</v>
      </c>
      <c r="C12" s="10" t="n">
        <v>19803882</v>
      </c>
      <c r="D12" s="10" t="n">
        <v>21091135</v>
      </c>
      <c r="E12" s="10" t="n">
        <v>21829324</v>
      </c>
      <c r="F12" s="11" t="s">
        <v>11</v>
      </c>
      <c r="G12" s="12" t="s">
        <v>23</v>
      </c>
    </row>
    <row r="13" customFormat="false" ht="15" hidden="false" customHeight="true" outlineLevel="0" collapsed="false">
      <c r="A13" s="14" t="s">
        <v>24</v>
      </c>
      <c r="B13" s="15" t="n">
        <f aca="false">SUM(B6:B12)</f>
        <v>141007499</v>
      </c>
      <c r="C13" s="15" t="n">
        <f aca="false">SUM(C6:C12)</f>
        <v>148302817</v>
      </c>
      <c r="D13" s="15" t="n">
        <f aca="false">SUM(D6:D12)</f>
        <v>156630228</v>
      </c>
      <c r="E13" s="15" t="n">
        <f aca="false">SUM(E6:E12)</f>
        <v>163621398</v>
      </c>
      <c r="F13" s="16"/>
      <c r="G13" s="16"/>
    </row>
    <row r="14" customFormat="false" ht="15" hidden="false" customHeight="true" outlineLevel="0" collapsed="false">
      <c r="A14" s="6" t="s">
        <v>25</v>
      </c>
      <c r="B14" s="7"/>
      <c r="C14" s="7"/>
      <c r="D14" s="7"/>
      <c r="E14" s="7"/>
      <c r="F14" s="8"/>
      <c r="G14" s="8"/>
    </row>
    <row r="15" customFormat="false" ht="15" hidden="false" customHeight="true" outlineLevel="0" collapsed="false">
      <c r="A15" s="9" t="s">
        <v>26</v>
      </c>
      <c r="B15" s="10" t="n">
        <v>18925939</v>
      </c>
      <c r="C15" s="10" t="n">
        <v>19106713</v>
      </c>
      <c r="D15" s="10" t="n">
        <v>19353282</v>
      </c>
      <c r="E15" s="10" t="n">
        <v>19761273</v>
      </c>
      <c r="F15" s="13" t="s">
        <v>14</v>
      </c>
      <c r="G15" s="12" t="s">
        <v>27</v>
      </c>
    </row>
    <row r="16" customFormat="false" ht="15" hidden="false" customHeight="true" outlineLevel="0" collapsed="false">
      <c r="A16" s="9" t="s">
        <v>28</v>
      </c>
      <c r="B16" s="10" t="n">
        <v>1031453</v>
      </c>
      <c r="C16" s="10" t="n">
        <v>1000000</v>
      </c>
      <c r="D16" s="10" t="n">
        <v>1147387</v>
      </c>
      <c r="E16" s="10" t="n">
        <v>1147387</v>
      </c>
      <c r="F16" s="13" t="s">
        <v>14</v>
      </c>
      <c r="G16" s="12" t="s">
        <v>29</v>
      </c>
    </row>
    <row r="17" customFormat="false" ht="15" hidden="false" customHeight="true" outlineLevel="0" collapsed="false">
      <c r="A17" s="9" t="s">
        <v>30</v>
      </c>
      <c r="B17" s="10" t="n">
        <v>18999486</v>
      </c>
      <c r="C17" s="10" t="n">
        <v>19396728</v>
      </c>
      <c r="D17" s="10" t="n">
        <v>18750000</v>
      </c>
      <c r="E17" s="10" t="n">
        <v>18750000</v>
      </c>
      <c r="F17" s="13" t="s">
        <v>14</v>
      </c>
      <c r="G17" s="12" t="s">
        <v>31</v>
      </c>
    </row>
    <row r="18" customFormat="false" ht="15" hidden="false" customHeight="true" outlineLevel="0" collapsed="false">
      <c r="A18" s="9" t="s">
        <v>32</v>
      </c>
      <c r="B18" s="10" t="n">
        <v>7087525</v>
      </c>
      <c r="C18" s="10" t="n">
        <v>8660450</v>
      </c>
      <c r="D18" s="10" t="n">
        <v>8920264</v>
      </c>
      <c r="E18" s="10" t="n">
        <v>9098669</v>
      </c>
      <c r="F18" s="13" t="s">
        <v>14</v>
      </c>
      <c r="G18" s="12" t="s">
        <v>33</v>
      </c>
    </row>
    <row r="19" customFormat="false" ht="15" hidden="false" customHeight="true" outlineLevel="0" collapsed="false">
      <c r="A19" s="9" t="s">
        <v>34</v>
      </c>
      <c r="B19" s="10" t="n">
        <v>-958344</v>
      </c>
      <c r="C19" s="10" t="n">
        <v>-1160450</v>
      </c>
      <c r="D19" s="10" t="n">
        <v>-1195264</v>
      </c>
      <c r="E19" s="10" t="n">
        <v>-1231122</v>
      </c>
      <c r="F19" s="13" t="s">
        <v>14</v>
      </c>
      <c r="G19" s="12" t="s">
        <v>35</v>
      </c>
    </row>
    <row r="20" customFormat="false" ht="15" hidden="false" customHeight="true" outlineLevel="0" collapsed="false">
      <c r="A20" s="9" t="s">
        <v>36</v>
      </c>
      <c r="B20" s="10" t="n">
        <v>1460298</v>
      </c>
      <c r="C20" s="10" t="n">
        <v>1400000</v>
      </c>
      <c r="D20" s="10" t="n">
        <v>1650000</v>
      </c>
      <c r="E20" s="10" t="n">
        <v>1400000</v>
      </c>
      <c r="F20" s="13" t="s">
        <v>14</v>
      </c>
      <c r="G20" s="12" t="s">
        <v>37</v>
      </c>
    </row>
    <row r="21" customFormat="false" ht="15" hidden="false" customHeight="true" outlineLevel="0" collapsed="false">
      <c r="A21" s="9" t="s">
        <v>38</v>
      </c>
      <c r="B21" s="10" t="n">
        <v>23523824</v>
      </c>
      <c r="C21" s="10" t="n">
        <v>24480000</v>
      </c>
      <c r="D21" s="10" t="n">
        <v>24969600</v>
      </c>
      <c r="E21" s="10" t="n">
        <v>25468992</v>
      </c>
      <c r="F21" s="13" t="s">
        <v>14</v>
      </c>
      <c r="G21" s="12" t="s">
        <v>39</v>
      </c>
    </row>
    <row r="22" customFormat="false" ht="15" hidden="false" customHeight="true" outlineLevel="0" collapsed="false">
      <c r="A22" s="9" t="s">
        <v>40</v>
      </c>
      <c r="B22" s="10" t="n">
        <v>66282</v>
      </c>
      <c r="C22" s="10" t="n">
        <v>18000</v>
      </c>
      <c r="D22" s="10" t="n">
        <v>18000</v>
      </c>
      <c r="E22" s="10" t="n">
        <v>1000000</v>
      </c>
      <c r="F22" s="13" t="s">
        <v>14</v>
      </c>
      <c r="G22" s="12" t="s">
        <v>41</v>
      </c>
    </row>
    <row r="23" customFormat="false" ht="15" hidden="false" customHeight="true" outlineLevel="0" collapsed="false">
      <c r="A23" s="9" t="s">
        <v>42</v>
      </c>
      <c r="B23" s="10" t="n">
        <v>6591844</v>
      </c>
      <c r="C23" s="10" t="n">
        <v>6600000</v>
      </c>
      <c r="D23" s="10" t="n">
        <v>6600000</v>
      </c>
      <c r="E23" s="10" t="n">
        <v>6600000</v>
      </c>
      <c r="F23" s="13" t="s">
        <v>14</v>
      </c>
      <c r="G23" s="12" t="s">
        <v>43</v>
      </c>
    </row>
    <row r="24" customFormat="false" ht="15" hidden="false" customHeight="true" outlineLevel="0" collapsed="false">
      <c r="A24" s="9" t="s">
        <v>44</v>
      </c>
      <c r="B24" s="10"/>
      <c r="C24" s="10" t="n">
        <v>2000000</v>
      </c>
      <c r="D24" s="10" t="n">
        <v>2000000</v>
      </c>
      <c r="E24" s="10" t="n">
        <v>2000000</v>
      </c>
      <c r="F24" s="17" t="s">
        <v>45</v>
      </c>
      <c r="G24" s="12" t="s">
        <v>46</v>
      </c>
    </row>
    <row r="25" customFormat="false" ht="15" hidden="false" customHeight="true" outlineLevel="0" collapsed="false">
      <c r="A25" s="9" t="s">
        <v>47</v>
      </c>
      <c r="B25" s="10" t="n">
        <v>6050906</v>
      </c>
      <c r="C25" s="10" t="n">
        <v>14665725</v>
      </c>
      <c r="D25" s="10" t="n">
        <v>6500000</v>
      </c>
      <c r="E25" s="10" t="n">
        <v>6630000</v>
      </c>
      <c r="F25" s="11" t="s">
        <v>11</v>
      </c>
      <c r="G25" s="12" t="s">
        <v>48</v>
      </c>
    </row>
    <row r="26" customFormat="false" ht="15" hidden="false" customHeight="true" outlineLevel="0" collapsed="false">
      <c r="A26" s="14" t="s">
        <v>49</v>
      </c>
      <c r="B26" s="15" t="n">
        <f aca="false">SUM(B15:B25)</f>
        <v>82779213</v>
      </c>
      <c r="C26" s="15" t="n">
        <f aca="false">SUM(C15:C25)</f>
        <v>96167166</v>
      </c>
      <c r="D26" s="15" t="n">
        <f aca="false">SUM(D15:D25)</f>
        <v>88713269</v>
      </c>
      <c r="E26" s="15" t="n">
        <f aca="false">SUM(E15:E25)</f>
        <v>90625199</v>
      </c>
      <c r="F26" s="16"/>
      <c r="G26" s="16"/>
    </row>
    <row r="27" customFormat="false" ht="15" hidden="false" customHeight="true" outlineLevel="0" collapsed="false">
      <c r="A27" s="6" t="s">
        <v>50</v>
      </c>
      <c r="B27" s="7"/>
      <c r="C27" s="7"/>
      <c r="D27" s="7"/>
      <c r="E27" s="7"/>
      <c r="F27" s="8"/>
      <c r="G27" s="8"/>
    </row>
    <row r="28" customFormat="false" ht="15" hidden="false" customHeight="true" outlineLevel="0" collapsed="false">
      <c r="A28" s="9" t="s">
        <v>51</v>
      </c>
      <c r="B28" s="10" t="n">
        <v>6062513</v>
      </c>
      <c r="C28" s="10" t="n">
        <v>6650000</v>
      </c>
      <c r="D28" s="10" t="n">
        <v>6650000</v>
      </c>
      <c r="E28" s="10" t="n">
        <v>6650000</v>
      </c>
      <c r="F28" s="13" t="s">
        <v>14</v>
      </c>
      <c r="G28" s="12" t="s">
        <v>52</v>
      </c>
    </row>
    <row r="29" customFormat="false" ht="15" hidden="false" customHeight="true" outlineLevel="0" collapsed="false">
      <c r="A29" s="9" t="s">
        <v>53</v>
      </c>
      <c r="B29" s="10" t="n">
        <v>165360</v>
      </c>
      <c r="C29" s="10" t="n">
        <v>165360</v>
      </c>
      <c r="D29" s="10" t="n">
        <v>165360</v>
      </c>
      <c r="E29" s="10" t="n">
        <v>165360</v>
      </c>
      <c r="F29" s="13" t="s">
        <v>14</v>
      </c>
      <c r="G29" s="12" t="s">
        <v>54</v>
      </c>
    </row>
    <row r="30" customFormat="false" ht="15" hidden="false" customHeight="true" outlineLevel="0" collapsed="false">
      <c r="A30" s="9" t="s">
        <v>55</v>
      </c>
      <c r="B30" s="10" t="n">
        <v>8488420</v>
      </c>
      <c r="C30" s="10" t="n">
        <v>9200000</v>
      </c>
      <c r="D30" s="10" t="n">
        <v>9200000</v>
      </c>
      <c r="E30" s="10" t="n">
        <v>9200000</v>
      </c>
      <c r="F30" s="13" t="s">
        <v>14</v>
      </c>
      <c r="G30" s="12" t="s">
        <v>56</v>
      </c>
    </row>
    <row r="31" customFormat="false" ht="15" hidden="false" customHeight="true" outlineLevel="0" collapsed="false">
      <c r="A31" s="9" t="s">
        <v>57</v>
      </c>
      <c r="B31" s="10" t="n">
        <v>2133540</v>
      </c>
      <c r="C31" s="10" t="n">
        <v>2100000</v>
      </c>
      <c r="D31" s="10" t="n">
        <v>2100000</v>
      </c>
      <c r="E31" s="10" t="n">
        <v>2100000</v>
      </c>
      <c r="F31" s="13" t="s">
        <v>14</v>
      </c>
      <c r="G31" s="12" t="s">
        <v>58</v>
      </c>
    </row>
    <row r="32" customFormat="false" ht="15" hidden="false" customHeight="true" outlineLevel="0" collapsed="false">
      <c r="A32" s="14" t="s">
        <v>59</v>
      </c>
      <c r="B32" s="15" t="n">
        <f aca="false">SUM(B28:B31)</f>
        <v>16849833</v>
      </c>
      <c r="C32" s="15" t="n">
        <f aca="false">SUM(C28:C31)</f>
        <v>18115360</v>
      </c>
      <c r="D32" s="15" t="n">
        <f aca="false">SUM(D28:D31)</f>
        <v>18115360</v>
      </c>
      <c r="E32" s="15" t="n">
        <f aca="false">SUM(E28:E31)</f>
        <v>18115360</v>
      </c>
      <c r="F32" s="16"/>
      <c r="G32" s="16"/>
    </row>
    <row r="33" customFormat="false" ht="15" hidden="false" customHeight="true" outlineLevel="0" collapsed="false">
      <c r="A33" s="6" t="s">
        <v>60</v>
      </c>
      <c r="B33" s="7"/>
      <c r="C33" s="7"/>
      <c r="D33" s="7"/>
      <c r="E33" s="7"/>
      <c r="F33" s="8"/>
      <c r="G33" s="8"/>
    </row>
    <row r="34" customFormat="false" ht="15" hidden="false" customHeight="true" outlineLevel="0" collapsed="false">
      <c r="A34" s="9" t="s">
        <v>61</v>
      </c>
      <c r="B34" s="10" t="n">
        <v>14467176</v>
      </c>
      <c r="C34" s="10" t="n">
        <v>13500000</v>
      </c>
      <c r="D34" s="10" t="n">
        <v>13500000</v>
      </c>
      <c r="E34" s="10" t="n">
        <v>12500000</v>
      </c>
      <c r="F34" s="18" t="s">
        <v>62</v>
      </c>
      <c r="G34" s="12" t="s">
        <v>63</v>
      </c>
    </row>
    <row r="35" customFormat="false" ht="15" hidden="false" customHeight="true" outlineLevel="0" collapsed="false">
      <c r="A35" s="9" t="s">
        <v>64</v>
      </c>
      <c r="B35" s="10" t="n">
        <v>10985618</v>
      </c>
      <c r="C35" s="10" t="n">
        <v>8000000</v>
      </c>
      <c r="D35" s="10" t="n">
        <v>8200000</v>
      </c>
      <c r="E35" s="10" t="n">
        <v>8405000</v>
      </c>
      <c r="F35" s="18" t="s">
        <v>62</v>
      </c>
      <c r="G35" s="12" t="s">
        <v>65</v>
      </c>
    </row>
    <row r="36" customFormat="false" ht="15" hidden="false" customHeight="true" outlineLevel="0" collapsed="false">
      <c r="A36" s="9" t="s">
        <v>66</v>
      </c>
      <c r="B36" s="10" t="n">
        <v>6835834</v>
      </c>
      <c r="C36" s="10" t="n">
        <v>7070256</v>
      </c>
      <c r="D36" s="10" t="n">
        <v>7211661</v>
      </c>
      <c r="E36" s="10" t="n">
        <v>7355894</v>
      </c>
      <c r="F36" s="18" t="s">
        <v>62</v>
      </c>
      <c r="G36" s="12" t="s">
        <v>67</v>
      </c>
    </row>
    <row r="37" customFormat="false" ht="15" hidden="false" customHeight="true" outlineLevel="0" collapsed="false">
      <c r="A37" s="9" t="s">
        <v>68</v>
      </c>
      <c r="B37" s="10" t="n">
        <v>8974480</v>
      </c>
      <c r="C37" s="10" t="n">
        <v>23842130</v>
      </c>
      <c r="D37" s="10" t="n">
        <v>4472621</v>
      </c>
      <c r="E37" s="10" t="n">
        <v>4562074</v>
      </c>
      <c r="F37" s="18" t="s">
        <v>62</v>
      </c>
      <c r="G37" s="12" t="s">
        <v>69</v>
      </c>
    </row>
    <row r="38" customFormat="false" ht="15" hidden="false" customHeight="true" outlineLevel="0" collapsed="false">
      <c r="A38" s="14" t="s">
        <v>70</v>
      </c>
      <c r="B38" s="15" t="n">
        <f aca="false">SUM(B34:B37)</f>
        <v>41263108</v>
      </c>
      <c r="C38" s="15" t="n">
        <f aca="false">SUM(C34:C37)</f>
        <v>52412386</v>
      </c>
      <c r="D38" s="15" t="n">
        <f aca="false">SUM(D34:D37)</f>
        <v>33384282</v>
      </c>
      <c r="E38" s="15" t="n">
        <f aca="false">SUM(E34:E37)</f>
        <v>32822968</v>
      </c>
      <c r="F38" s="16"/>
      <c r="G38" s="16"/>
    </row>
    <row r="39" customFormat="false" ht="15" hidden="false" customHeight="true" outlineLevel="0" collapsed="false">
      <c r="A39" s="19" t="s">
        <v>71</v>
      </c>
      <c r="B39" s="20" t="n">
        <f aca="false">B13+B26+B32+B38</f>
        <v>281899653</v>
      </c>
      <c r="C39" s="20" t="n">
        <f aca="false">C13+C26+C32+C38</f>
        <v>314997729</v>
      </c>
      <c r="D39" s="20" t="n">
        <f aca="false">D13+D26+D32+D38</f>
        <v>296843139</v>
      </c>
      <c r="E39" s="20" t="n">
        <f aca="false">E13+E26+E32+E38</f>
        <v>305184925</v>
      </c>
      <c r="F39" s="21"/>
      <c r="G39" s="21"/>
    </row>
    <row r="41" customFormat="false" ht="15" hidden="false" customHeight="true" outlineLevel="0" collapsed="false">
      <c r="A41" s="6" t="s">
        <v>72</v>
      </c>
      <c r="B41" s="7"/>
      <c r="C41" s="7"/>
      <c r="D41" s="7"/>
      <c r="E41" s="7"/>
      <c r="F41" s="8"/>
      <c r="G41" s="8"/>
    </row>
    <row r="42" customFormat="false" ht="15" hidden="false" customHeight="true" outlineLevel="0" collapsed="false">
      <c r="A42" s="9" t="s">
        <v>73</v>
      </c>
      <c r="B42" s="10" t="n">
        <v>7052569</v>
      </c>
      <c r="C42" s="10" t="n">
        <v>8000000</v>
      </c>
      <c r="D42" s="10" t="n">
        <v>5450000</v>
      </c>
      <c r="E42" s="10" t="n">
        <v>5450000</v>
      </c>
      <c r="F42" s="13" t="s">
        <v>14</v>
      </c>
      <c r="G42" s="12" t="s">
        <v>74</v>
      </c>
    </row>
    <row r="43" customFormat="false" ht="15" hidden="false" customHeight="true" outlineLevel="0" collapsed="false">
      <c r="A43" s="19" t="s">
        <v>75</v>
      </c>
      <c r="B43" s="20" t="n">
        <f aca="false">B39+B42</f>
        <v>288952222</v>
      </c>
      <c r="C43" s="20" t="n">
        <f aca="false">C39+C42</f>
        <v>322997729</v>
      </c>
      <c r="D43" s="20" t="n">
        <f aca="false">D39+D42</f>
        <v>302293139</v>
      </c>
      <c r="E43" s="20" t="n">
        <f aca="false">E39+E42</f>
        <v>310634925</v>
      </c>
      <c r="F43" s="21"/>
      <c r="G43" s="21"/>
    </row>
    <row r="45" customFormat="false" ht="15" hidden="false" customHeight="false" outlineLevel="0" collapsed="false">
      <c r="A45" s="22" t="s">
        <v>76</v>
      </c>
    </row>
    <row r="46" customFormat="false" ht="15" hidden="false" customHeight="false" outlineLevel="0" collapsed="false">
      <c r="A46" s="23" t="s">
        <v>7</v>
      </c>
      <c r="B46" s="24" t="s">
        <v>77</v>
      </c>
      <c r="C46" s="24" t="s">
        <v>78</v>
      </c>
      <c r="D46" s="24" t="s">
        <v>79</v>
      </c>
    </row>
    <row r="47" customFormat="false" ht="15" hidden="false" customHeight="false" outlineLevel="0" collapsed="false">
      <c r="A47" s="25" t="s">
        <v>11</v>
      </c>
      <c r="B47" s="26" t="n">
        <f aca="false">SUMIF($F$5:$F$43,A47,$D$5:$D$43)</f>
        <v>131475228</v>
      </c>
      <c r="C47" s="26" t="n">
        <f aca="false">SUMIF($F$5:$F$43,A47,$E$5:$E$43)</f>
        <v>137013648</v>
      </c>
      <c r="D47" s="27" t="n">
        <f aca="false">B47/$B$51</f>
        <v>0.488921151451698</v>
      </c>
    </row>
    <row r="48" customFormat="false" ht="15" hidden="false" customHeight="false" outlineLevel="0" collapsed="false">
      <c r="A48" s="28" t="s">
        <v>14</v>
      </c>
      <c r="B48" s="26" t="n">
        <f aca="false">SUMIF($F$5:$F$43,A48,$D$5:$D$43)</f>
        <v>135433629</v>
      </c>
      <c r="C48" s="26" t="n">
        <f aca="false">SUMIF($F$5:$F$43,A48,$E$5:$E$43)</f>
        <v>138798309</v>
      </c>
      <c r="D48" s="27" t="n">
        <f aca="false">B48/$B$51</f>
        <v>0.503641384337147</v>
      </c>
    </row>
    <row r="49" customFormat="false" ht="15" hidden="false" customHeight="false" outlineLevel="0" collapsed="false">
      <c r="A49" s="29" t="s">
        <v>45</v>
      </c>
      <c r="B49" s="26" t="n">
        <f aca="false">SUMIF($F$5:$F$43,A49,$D$5:$D$43)</f>
        <v>2000000</v>
      </c>
      <c r="C49" s="26" t="n">
        <f aca="false">SUMIF($F$5:$F$43,A49,$E$5:$E$43)</f>
        <v>2000000</v>
      </c>
      <c r="D49" s="27" t="n">
        <f aca="false">B49/$B$51</f>
        <v>0.00743746421115464</v>
      </c>
    </row>
    <row r="50" customFormat="false" ht="15" hidden="false" customHeight="false" outlineLevel="0" collapsed="false">
      <c r="A50" s="30" t="s">
        <v>62</v>
      </c>
      <c r="B50" s="26" t="n">
        <f aca="false">SUMIF($F$5:$F$43,A50,$D$5:$D$43)</f>
        <v>33384282</v>
      </c>
      <c r="C50" s="26" t="n">
        <f aca="false">SUMIF($F$5:$F$43,A50,$E$5:$E$43)</f>
        <v>32822968</v>
      </c>
      <c r="D50" s="27" t="n">
        <f aca="false">B50/$B$51</f>
        <v>0.124147201295047</v>
      </c>
    </row>
    <row r="51" customFormat="false" ht="15" hidden="false" customHeight="false" outlineLevel="0" collapsed="false">
      <c r="A51" s="31" t="s">
        <v>80</v>
      </c>
      <c r="B51" s="32" t="n">
        <f aca="false">B47+B48+B49</f>
        <v>268908857</v>
      </c>
      <c r="C51" s="32" t="n">
        <f aca="false">C47+C48+C49</f>
        <v>277811957</v>
      </c>
    </row>
    <row r="53" customFormat="false" ht="54" hidden="false" customHeight="true" outlineLevel="0" collapsed="false">
      <c r="A53" s="3" t="s">
        <v>81</v>
      </c>
      <c r="B53" s="3"/>
      <c r="C53" s="3"/>
      <c r="D53" s="3"/>
      <c r="E53" s="3"/>
      <c r="F53" s="3"/>
      <c r="G53" s="3"/>
    </row>
  </sheetData>
  <mergeCells count="2">
    <mergeCell ref="A2:E2"/>
    <mergeCell ref="A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24"/>
  </cols>
  <sheetData>
    <row r="1" customFormat="false" ht="17.25" hidden="false" customHeight="true" outlineLevel="0" collapsed="false">
      <c r="A1" s="2" t="s">
        <v>82</v>
      </c>
    </row>
    <row r="2" customFormat="false" ht="42" hidden="false" customHeight="true" outlineLevel="0" collapsed="false">
      <c r="A2" s="3" t="s">
        <v>83</v>
      </c>
      <c r="B2" s="3"/>
      <c r="C2" s="3"/>
      <c r="D2" s="3"/>
    </row>
    <row r="4" customFormat="false" ht="15" hidden="false" customHeight="true" outlineLevel="0" collapsed="false">
      <c r="A4" s="4" t="s">
        <v>84</v>
      </c>
      <c r="B4" s="4" t="s">
        <v>85</v>
      </c>
      <c r="C4" s="4" t="s">
        <v>86</v>
      </c>
      <c r="D4" s="4" t="s">
        <v>87</v>
      </c>
    </row>
    <row r="5" customFormat="false" ht="15" hidden="false" customHeight="true" outlineLevel="0" collapsed="false">
      <c r="A5" s="6" t="s">
        <v>88</v>
      </c>
      <c r="B5" s="7"/>
      <c r="C5" s="7"/>
      <c r="D5" s="7"/>
    </row>
    <row r="6" customFormat="false" ht="15" hidden="false" customHeight="true" outlineLevel="0" collapsed="false">
      <c r="A6" s="33" t="s">
        <v>89</v>
      </c>
      <c r="B6" s="33" t="s">
        <v>90</v>
      </c>
      <c r="C6" s="33" t="s">
        <v>91</v>
      </c>
      <c r="D6" s="33" t="s">
        <v>92</v>
      </c>
    </row>
    <row r="7" customFormat="false" ht="15" hidden="false" customHeight="true" outlineLevel="0" collapsed="false">
      <c r="A7" s="33" t="s">
        <v>93</v>
      </c>
      <c r="B7" s="33" t="s">
        <v>90</v>
      </c>
      <c r="C7" s="33" t="s">
        <v>94</v>
      </c>
      <c r="D7" s="33" t="s">
        <v>92</v>
      </c>
    </row>
    <row r="8" customFormat="false" ht="15" hidden="false" customHeight="true" outlineLevel="0" collapsed="false">
      <c r="A8" s="33" t="s">
        <v>95</v>
      </c>
      <c r="B8" s="33" t="s">
        <v>90</v>
      </c>
      <c r="C8" s="33" t="s">
        <v>96</v>
      </c>
      <c r="D8" s="33" t="s">
        <v>97</v>
      </c>
    </row>
    <row r="9" customFormat="false" ht="15" hidden="false" customHeight="true" outlineLevel="0" collapsed="false">
      <c r="A9" s="33" t="s">
        <v>98</v>
      </c>
      <c r="B9" s="33" t="s">
        <v>90</v>
      </c>
      <c r="C9" s="33" t="s">
        <v>99</v>
      </c>
      <c r="D9" s="33" t="s">
        <v>100</v>
      </c>
    </row>
    <row r="10" customFormat="false" ht="15" hidden="false" customHeight="true" outlineLevel="0" collapsed="false">
      <c r="A10" s="33" t="s">
        <v>101</v>
      </c>
      <c r="B10" s="33" t="s">
        <v>90</v>
      </c>
      <c r="C10" s="33" t="s">
        <v>102</v>
      </c>
      <c r="D10" s="33" t="s">
        <v>103</v>
      </c>
    </row>
    <row r="11" customFormat="false" ht="15" hidden="false" customHeight="true" outlineLevel="0" collapsed="false">
      <c r="A11" s="33" t="s">
        <v>104</v>
      </c>
      <c r="B11" s="33" t="s">
        <v>90</v>
      </c>
      <c r="C11" s="33" t="s">
        <v>105</v>
      </c>
      <c r="D11" s="33" t="s">
        <v>106</v>
      </c>
    </row>
    <row r="12" customFormat="false" ht="15" hidden="false" customHeight="true" outlineLevel="0" collapsed="false">
      <c r="A12" s="33" t="s">
        <v>107</v>
      </c>
      <c r="B12" s="33" t="s">
        <v>90</v>
      </c>
      <c r="C12" s="33" t="s">
        <v>108</v>
      </c>
      <c r="D12" s="33" t="s">
        <v>109</v>
      </c>
    </row>
    <row r="13" customFormat="false" ht="15" hidden="false" customHeight="true" outlineLevel="0" collapsed="false">
      <c r="A13" s="33" t="s">
        <v>110</v>
      </c>
      <c r="B13" s="33" t="s">
        <v>90</v>
      </c>
      <c r="C13" s="33" t="s">
        <v>111</v>
      </c>
      <c r="D13" s="33" t="s">
        <v>112</v>
      </c>
    </row>
    <row r="14" customFormat="false" ht="15" hidden="false" customHeight="true" outlineLevel="0" collapsed="false">
      <c r="A14" s="33" t="s">
        <v>113</v>
      </c>
      <c r="B14" s="33" t="s">
        <v>114</v>
      </c>
      <c r="C14" s="33" t="s">
        <v>115</v>
      </c>
      <c r="D14" s="33" t="s">
        <v>116</v>
      </c>
    </row>
    <row r="15" customFormat="false" ht="15" hidden="false" customHeight="true" outlineLevel="0" collapsed="false">
      <c r="A15" s="6" t="s">
        <v>117</v>
      </c>
      <c r="B15" s="7"/>
      <c r="C15" s="7"/>
      <c r="D15" s="7"/>
    </row>
    <row r="16" customFormat="false" ht="15" hidden="false" customHeight="true" outlineLevel="0" collapsed="false">
      <c r="A16" s="33" t="s">
        <v>118</v>
      </c>
      <c r="B16" s="33" t="s">
        <v>119</v>
      </c>
      <c r="C16" s="33" t="s">
        <v>120</v>
      </c>
      <c r="D16" s="33" t="s">
        <v>121</v>
      </c>
    </row>
    <row r="17" customFormat="false" ht="15" hidden="false" customHeight="true" outlineLevel="0" collapsed="false">
      <c r="A17" s="33" t="s">
        <v>122</v>
      </c>
      <c r="B17" s="33" t="s">
        <v>119</v>
      </c>
      <c r="C17" s="33" t="s">
        <v>123</v>
      </c>
      <c r="D17" s="33" t="s">
        <v>124</v>
      </c>
    </row>
    <row r="18" customFormat="false" ht="15" hidden="false" customHeight="true" outlineLevel="0" collapsed="false">
      <c r="A18" s="33" t="s">
        <v>125</v>
      </c>
      <c r="B18" s="33" t="s">
        <v>119</v>
      </c>
      <c r="C18" s="33" t="s">
        <v>126</v>
      </c>
      <c r="D18" s="33" t="s">
        <v>127</v>
      </c>
    </row>
    <row r="19" customFormat="false" ht="15" hidden="false" customHeight="true" outlineLevel="0" collapsed="false">
      <c r="A19" s="33" t="s">
        <v>128</v>
      </c>
      <c r="B19" s="33" t="s">
        <v>119</v>
      </c>
      <c r="C19" s="33" t="s">
        <v>129</v>
      </c>
      <c r="D19" s="33" t="s">
        <v>130</v>
      </c>
    </row>
    <row r="20" customFormat="false" ht="15" hidden="false" customHeight="true" outlineLevel="0" collapsed="false">
      <c r="A20" s="33" t="s">
        <v>131</v>
      </c>
      <c r="B20" s="33" t="s">
        <v>119</v>
      </c>
      <c r="C20" s="33" t="s">
        <v>132</v>
      </c>
      <c r="D20" s="33" t="s">
        <v>133</v>
      </c>
    </row>
    <row r="21" customFormat="false" ht="15" hidden="false" customHeight="true" outlineLevel="0" collapsed="false">
      <c r="A21" s="6" t="s">
        <v>134</v>
      </c>
      <c r="B21" s="7"/>
      <c r="C21" s="7"/>
      <c r="D21" s="7"/>
    </row>
    <row r="22" customFormat="false" ht="15" hidden="false" customHeight="true" outlineLevel="0" collapsed="false">
      <c r="A22" s="33" t="s">
        <v>135</v>
      </c>
      <c r="B22" s="33" t="s">
        <v>136</v>
      </c>
      <c r="C22" s="33" t="s">
        <v>137</v>
      </c>
      <c r="D22" s="33" t="s">
        <v>138</v>
      </c>
    </row>
    <row r="23" customFormat="false" ht="15" hidden="false" customHeight="true" outlineLevel="0" collapsed="false">
      <c r="A23" s="33" t="s">
        <v>139</v>
      </c>
      <c r="B23" s="33" t="s">
        <v>136</v>
      </c>
      <c r="C23" s="33" t="s">
        <v>137</v>
      </c>
      <c r="D23" s="33" t="s">
        <v>140</v>
      </c>
    </row>
    <row r="24" customFormat="false" ht="15" hidden="false" customHeight="true" outlineLevel="0" collapsed="false">
      <c r="A24" s="33" t="s">
        <v>141</v>
      </c>
      <c r="B24" s="33" t="s">
        <v>142</v>
      </c>
      <c r="C24" s="33" t="s">
        <v>143</v>
      </c>
      <c r="D24" s="33" t="s">
        <v>144</v>
      </c>
    </row>
    <row r="25" customFormat="false" ht="15" hidden="false" customHeight="true" outlineLevel="0" collapsed="false">
      <c r="A25" s="33" t="s">
        <v>145</v>
      </c>
      <c r="B25" s="33" t="s">
        <v>146</v>
      </c>
      <c r="C25" s="33" t="s">
        <v>147</v>
      </c>
      <c r="D25" s="33" t="s">
        <v>148</v>
      </c>
    </row>
    <row r="26" customFormat="false" ht="15" hidden="false" customHeight="true" outlineLevel="0" collapsed="false">
      <c r="A26" s="33" t="s">
        <v>149</v>
      </c>
      <c r="B26" s="33" t="s">
        <v>150</v>
      </c>
      <c r="C26" s="33" t="s">
        <v>151</v>
      </c>
      <c r="D26" s="33" t="s">
        <v>152</v>
      </c>
    </row>
    <row r="27" customFormat="false" ht="15" hidden="false" customHeight="true" outlineLevel="0" collapsed="false">
      <c r="A27" s="33" t="s">
        <v>153</v>
      </c>
      <c r="B27" s="33" t="s">
        <v>154</v>
      </c>
      <c r="C27" s="33" t="s">
        <v>155</v>
      </c>
      <c r="D27" s="33" t="s">
        <v>156</v>
      </c>
    </row>
    <row r="28" customFormat="false" ht="15" hidden="false" customHeight="true" outlineLevel="0" collapsed="false">
      <c r="A28" s="6" t="s">
        <v>157</v>
      </c>
      <c r="B28" s="7"/>
      <c r="C28" s="7"/>
      <c r="D28" s="7"/>
    </row>
    <row r="29" customFormat="false" ht="15" hidden="false" customHeight="true" outlineLevel="0" collapsed="false">
      <c r="A29" s="33" t="s">
        <v>158</v>
      </c>
      <c r="B29" s="33" t="s">
        <v>159</v>
      </c>
      <c r="C29" s="33" t="s">
        <v>160</v>
      </c>
      <c r="D29" s="33" t="s">
        <v>161</v>
      </c>
    </row>
    <row r="30" customFormat="false" ht="15" hidden="false" customHeight="true" outlineLevel="0" collapsed="false">
      <c r="A30" s="33" t="s">
        <v>162</v>
      </c>
      <c r="B30" s="33" t="s">
        <v>163</v>
      </c>
      <c r="C30" s="33" t="s">
        <v>164</v>
      </c>
      <c r="D30" s="33" t="s">
        <v>165</v>
      </c>
    </row>
    <row r="31" customFormat="false" ht="15" hidden="false" customHeight="true" outlineLevel="0" collapsed="false">
      <c r="A31" s="33" t="s">
        <v>166</v>
      </c>
      <c r="B31" s="33" t="s">
        <v>167</v>
      </c>
      <c r="C31" s="33" t="s">
        <v>168</v>
      </c>
      <c r="D31" s="33" t="s">
        <v>169</v>
      </c>
    </row>
    <row r="32" customFormat="false" ht="15" hidden="false" customHeight="true" outlineLevel="0" collapsed="false">
      <c r="A32" s="33" t="s">
        <v>170</v>
      </c>
      <c r="B32" s="33" t="s">
        <v>171</v>
      </c>
      <c r="C32" s="33" t="s">
        <v>168</v>
      </c>
      <c r="D32" s="33" t="s">
        <v>172</v>
      </c>
    </row>
    <row r="33" customFormat="false" ht="15" hidden="false" customHeight="true" outlineLevel="0" collapsed="false">
      <c r="A33" s="6" t="s">
        <v>173</v>
      </c>
      <c r="B33" s="7"/>
      <c r="C33" s="7"/>
      <c r="D33" s="7"/>
    </row>
    <row r="34" customFormat="false" ht="15" hidden="false" customHeight="true" outlineLevel="0" collapsed="false">
      <c r="A34" s="33" t="s">
        <v>174</v>
      </c>
      <c r="B34" s="33" t="s">
        <v>175</v>
      </c>
      <c r="C34" s="33" t="s">
        <v>176</v>
      </c>
      <c r="D34" s="33" t="s">
        <v>177</v>
      </c>
    </row>
    <row r="35" customFormat="false" ht="15" hidden="false" customHeight="true" outlineLevel="0" collapsed="false">
      <c r="A35" s="33" t="s">
        <v>178</v>
      </c>
      <c r="B35" s="33" t="s">
        <v>179</v>
      </c>
      <c r="C35" s="33" t="s">
        <v>180</v>
      </c>
      <c r="D35" s="33" t="s">
        <v>180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2026-06-23T18:11:40Z</dcterms:created>
  <dc:creator>openpyxl</dc:creator>
  <dc:description/>
  <dc:language>en-US</dc:language>
  <cp:lastModifiedBy/>
  <dcterms:modified xsi:type="dcterms:W3CDTF">2026-06-23T18:32:56Z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